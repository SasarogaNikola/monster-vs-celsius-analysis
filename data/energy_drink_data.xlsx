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37639daf3d5cd2/Radna površina/Energy Drinks Presentation/"/>
    </mc:Choice>
  </mc:AlternateContent>
  <xr:revisionPtr revIDLastSave="19" documentId="8_{9D62F7CB-CB00-4393-B909-CB0861F27DFF}" xr6:coauthVersionLast="47" xr6:coauthVersionMax="47" xr10:uidLastSave="{99D0A4CF-2F63-4EB8-8F08-0D09BF0B3FF2}"/>
  <bookViews>
    <workbookView xWindow="-108" yWindow="-108" windowWidth="23256" windowHeight="12576" tabRatio="775" firstSheet="1" activeTab="7" xr2:uid="{00000000-000D-0000-FFFF-FFFF00000000}"/>
  </bookViews>
  <sheets>
    <sheet name="Energy Drink Data" sheetId="1" r:id="rId1"/>
    <sheet name="Comparison" sheetId="8" r:id="rId2"/>
    <sheet name="Regression" sheetId="9" r:id="rId3"/>
    <sheet name="Revenue Total" sheetId="6" r:id="rId4"/>
    <sheet name="Revenue Growth" sheetId="3" r:id="rId5"/>
    <sheet name="COGS" sheetId="7" r:id="rId6"/>
    <sheet name="SG&amp;A" sheetId="4" r:id="rId7"/>
    <sheet name="EBITDA" sheetId="5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9" l="1"/>
  <c r="G10" i="9"/>
  <c r="G9" i="9"/>
  <c r="G8" i="9"/>
  <c r="G7" i="9"/>
  <c r="G6" i="9"/>
  <c r="G5" i="9"/>
  <c r="G4" i="9"/>
  <c r="G3" i="9"/>
  <c r="G2" i="9"/>
  <c r="G21" i="9"/>
  <c r="G20" i="9"/>
  <c r="G19" i="9"/>
  <c r="G18" i="9"/>
  <c r="G17" i="9"/>
  <c r="G16" i="9"/>
  <c r="G15" i="9"/>
  <c r="G14" i="9"/>
  <c r="G13" i="9"/>
  <c r="G12" i="9"/>
  <c r="J20" i="4"/>
  <c r="J19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H64" i="1"/>
  <c r="H74" i="1"/>
  <c r="H21" i="8"/>
  <c r="H11" i="8"/>
  <c r="H20" i="8"/>
  <c r="H19" i="8"/>
  <c r="H18" i="8"/>
  <c r="H17" i="8"/>
  <c r="H16" i="8"/>
  <c r="H15" i="8"/>
  <c r="H14" i="8"/>
  <c r="H13" i="8"/>
  <c r="H12" i="8"/>
  <c r="H10" i="8"/>
  <c r="H9" i="8"/>
  <c r="H8" i="8"/>
  <c r="H7" i="8"/>
  <c r="H6" i="8"/>
  <c r="H5" i="8"/>
  <c r="H4" i="8"/>
  <c r="H3" i="8"/>
  <c r="H2" i="8"/>
  <c r="H66" i="1"/>
  <c r="H63" i="1"/>
  <c r="H55" i="1"/>
  <c r="H56" i="1"/>
  <c r="H57" i="1"/>
  <c r="H58" i="1"/>
  <c r="H59" i="1"/>
  <c r="H60" i="1"/>
  <c r="H61" i="1"/>
  <c r="H62" i="1"/>
  <c r="H65" i="1"/>
  <c r="H67" i="1"/>
  <c r="H68" i="1"/>
  <c r="H69" i="1"/>
  <c r="H70" i="1"/>
  <c r="H71" i="1"/>
  <c r="H72" i="1"/>
  <c r="H73" i="1"/>
  <c r="M49" i="1"/>
  <c r="K49" i="1"/>
  <c r="G49" i="1"/>
  <c r="N49" i="1" s="1"/>
  <c r="D49" i="1"/>
  <c r="L49" i="1" s="1"/>
  <c r="M48" i="1"/>
  <c r="K48" i="1"/>
  <c r="G48" i="1"/>
  <c r="N48" i="1" s="1"/>
  <c r="D48" i="1"/>
  <c r="L48" i="1" s="1"/>
  <c r="M47" i="1"/>
  <c r="K47" i="1"/>
  <c r="G47" i="1"/>
  <c r="N47" i="1" s="1"/>
  <c r="D47" i="1"/>
  <c r="L47" i="1" s="1"/>
  <c r="N46" i="1"/>
  <c r="M46" i="1"/>
  <c r="K46" i="1"/>
  <c r="G46" i="1"/>
  <c r="D46" i="1"/>
  <c r="L46" i="1" s="1"/>
  <c r="M45" i="1"/>
  <c r="K45" i="1"/>
  <c r="G45" i="1"/>
  <c r="N45" i="1" s="1"/>
  <c r="D45" i="1"/>
  <c r="L45" i="1" s="1"/>
  <c r="M44" i="1"/>
  <c r="K44" i="1"/>
  <c r="G44" i="1"/>
  <c r="N44" i="1" s="1"/>
  <c r="D44" i="1"/>
  <c r="L44" i="1" s="1"/>
  <c r="N43" i="1"/>
  <c r="M43" i="1"/>
  <c r="L43" i="1"/>
  <c r="K43" i="1"/>
  <c r="G43" i="1"/>
  <c r="D43" i="1"/>
  <c r="M42" i="1"/>
  <c r="L42" i="1"/>
  <c r="K42" i="1"/>
  <c r="G42" i="1"/>
  <c r="N42" i="1" s="1"/>
  <c r="M41" i="1"/>
  <c r="L41" i="1"/>
  <c r="K41" i="1"/>
  <c r="G41" i="1"/>
  <c r="N41" i="1" s="1"/>
  <c r="M40" i="1"/>
  <c r="L40" i="1"/>
  <c r="K40" i="1"/>
  <c r="G40" i="1"/>
  <c r="N40" i="1" s="1"/>
  <c r="L23" i="1"/>
  <c r="L24" i="1"/>
  <c r="D26" i="1"/>
  <c r="L26" i="1" s="1"/>
  <c r="D27" i="1"/>
  <c r="L27" i="1" s="1"/>
  <c r="D28" i="1"/>
  <c r="L28" i="1" s="1"/>
  <c r="D29" i="1"/>
  <c r="L29" i="1" s="1"/>
  <c r="D30" i="1"/>
  <c r="D32" i="1"/>
  <c r="D31" i="1"/>
  <c r="G23" i="1"/>
  <c r="N23" i="1" s="1"/>
  <c r="G24" i="1"/>
  <c r="N24" i="1" s="1"/>
  <c r="G25" i="1"/>
  <c r="G26" i="1"/>
  <c r="G27" i="1"/>
  <c r="G28" i="1"/>
  <c r="N28" i="1" s="1"/>
  <c r="G29" i="1"/>
  <c r="G30" i="1"/>
  <c r="N30" i="1" s="1"/>
  <c r="G31" i="1"/>
  <c r="N31" i="1" s="1"/>
  <c r="G32" i="1"/>
  <c r="N32" i="1" s="1"/>
  <c r="M29" i="1"/>
  <c r="M30" i="1"/>
  <c r="K23" i="1"/>
  <c r="M32" i="1"/>
  <c r="L32" i="1"/>
  <c r="K32" i="1"/>
  <c r="M31" i="1"/>
  <c r="L31" i="1"/>
  <c r="K31" i="1"/>
  <c r="L30" i="1"/>
  <c r="K30" i="1"/>
  <c r="K29" i="1"/>
  <c r="N29" i="1"/>
  <c r="K28" i="1"/>
  <c r="K27" i="1"/>
  <c r="N27" i="1"/>
  <c r="K26" i="1"/>
  <c r="N26" i="1"/>
  <c r="L25" i="1"/>
  <c r="K25" i="1"/>
  <c r="N25" i="1"/>
  <c r="K24" i="1"/>
  <c r="N10" i="1"/>
  <c r="M3" i="1"/>
  <c r="M4" i="1"/>
  <c r="M5" i="1"/>
  <c r="M6" i="1"/>
  <c r="M7" i="1"/>
  <c r="M8" i="1"/>
  <c r="M9" i="1"/>
  <c r="M10" i="1"/>
  <c r="M11" i="1"/>
  <c r="M2" i="1"/>
  <c r="K3" i="1"/>
  <c r="G2" i="1"/>
  <c r="N2" i="1" s="1"/>
  <c r="G11" i="1"/>
  <c r="N11" i="1" s="1"/>
  <c r="G10" i="1"/>
  <c r="G9" i="1"/>
  <c r="N9" i="1" s="1"/>
  <c r="G8" i="1"/>
  <c r="N8" i="1" s="1"/>
  <c r="G7" i="1"/>
  <c r="N7" i="1" s="1"/>
  <c r="G6" i="1"/>
  <c r="N6" i="1" s="1"/>
  <c r="G5" i="1"/>
  <c r="N5" i="1" s="1"/>
  <c r="G4" i="1"/>
  <c r="N4" i="1" s="1"/>
  <c r="G3" i="1"/>
  <c r="N3" i="1" s="1"/>
  <c r="K2" i="1"/>
  <c r="L2" i="1"/>
  <c r="L3" i="1"/>
  <c r="L4" i="1"/>
  <c r="L5" i="1"/>
  <c r="L6" i="1"/>
  <c r="L7" i="1"/>
  <c r="L8" i="1"/>
  <c r="L9" i="1"/>
  <c r="L10" i="1"/>
  <c r="L11" i="1"/>
  <c r="K4" i="1"/>
  <c r="K5" i="1"/>
  <c r="K6" i="1"/>
  <c r="K7" i="1"/>
  <c r="K8" i="1"/>
  <c r="K9" i="1"/>
  <c r="K10" i="1"/>
  <c r="K11" i="1"/>
  <c r="E79" i="1" l="1"/>
  <c r="M27" i="1"/>
  <c r="M28" i="1"/>
  <c r="M24" i="1" l="1"/>
  <c r="M26" i="1"/>
  <c r="M23" i="1"/>
  <c r="M25" i="1"/>
</calcChain>
</file>

<file path=xl/sharedStrings.xml><?xml version="1.0" encoding="utf-8"?>
<sst xmlns="http://schemas.openxmlformats.org/spreadsheetml/2006/main" count="339" uniqueCount="106">
  <si>
    <t>Year</t>
  </si>
  <si>
    <t>Revenue (Net Sales)</t>
  </si>
  <si>
    <t>Operating Expenses (SG&amp;A proxy)</t>
  </si>
  <si>
    <t>Selling &amp; Marketing (if reported separately)</t>
  </si>
  <si>
    <t>General &amp; Administrative (if reported separately)</t>
  </si>
  <si>
    <t>R&amp;D / Product Development</t>
  </si>
  <si>
    <t>Operating Income</t>
  </si>
  <si>
    <t>Depreciation &amp; Amortization</t>
  </si>
  <si>
    <t>EBITDA</t>
  </si>
  <si>
    <t>COGS / Revenue</t>
  </si>
  <si>
    <t>SG&amp;A / Revenue</t>
  </si>
  <si>
    <t>Operating Margin (Operating Income / Revenue)</t>
  </si>
  <si>
    <t>prihod</t>
  </si>
  <si>
    <t>proizvodnja</t>
  </si>
  <si>
    <t>pakovanje</t>
  </si>
  <si>
    <t>logistika</t>
  </si>
  <si>
    <t>proizvodni inputi</t>
  </si>
  <si>
    <t>administracija</t>
  </si>
  <si>
    <t>plate</t>
  </si>
  <si>
    <t>distribucioni troskovi</t>
  </si>
  <si>
    <t>marketing</t>
  </si>
  <si>
    <t>ako ima</t>
  </si>
  <si>
    <t>selling exp</t>
  </si>
  <si>
    <t>marketing exp</t>
  </si>
  <si>
    <t>advertising</t>
  </si>
  <si>
    <t>hr</t>
  </si>
  <si>
    <t>management</t>
  </si>
  <si>
    <t>kancelarije</t>
  </si>
  <si>
    <t>pravni troskovi</t>
  </si>
  <si>
    <t>novi ukusi</t>
  </si>
  <si>
    <t>nove formule</t>
  </si>
  <si>
    <t>u 10k je</t>
  </si>
  <si>
    <t>ali mozemo i formulom</t>
  </si>
  <si>
    <t>oduzimanjem 1-3</t>
  </si>
  <si>
    <t>Operating Income +</t>
  </si>
  <si>
    <t>Depreciation +</t>
  </si>
  <si>
    <t>amortization</t>
  </si>
  <si>
    <t>profitability</t>
  </si>
  <si>
    <t xml:space="preserve"> Gross Profit − Operating Income</t>
  </si>
  <si>
    <t>COGS (Cost of Sales) = Gross Profit - Revenue</t>
  </si>
  <si>
    <t>Monster</t>
  </si>
  <si>
    <t>EBITDA Margin</t>
  </si>
  <si>
    <t>EBITDA Margin (EBITDA / Revenue)</t>
  </si>
  <si>
    <t xml:space="preserve">zarada nakon </t>
  </si>
  <si>
    <t>optlacivanja troskova</t>
  </si>
  <si>
    <t>Company</t>
  </si>
  <si>
    <t>Revenue</t>
  </si>
  <si>
    <t>Operating Margin</t>
  </si>
  <si>
    <t>Celsius</t>
  </si>
  <si>
    <t>Revenue Growth</t>
  </si>
  <si>
    <t>Row Labels</t>
  </si>
  <si>
    <t>Grand Total</t>
  </si>
  <si>
    <t>Column Labels</t>
  </si>
  <si>
    <t>Average of Revenue Growth</t>
  </si>
  <si>
    <t>Average of EBITDA Margin</t>
  </si>
  <si>
    <t>Beginning in 2023, Celsius shows a notable improvement in EBITDA margins, suggesting that the company is transitioning from a growth-at-all-costs strategy toward improving operational profitability.</t>
  </si>
  <si>
    <t>Average of Revenue</t>
  </si>
  <si>
    <t>Average of COGS / Revenue</t>
  </si>
  <si>
    <t>The scatter plot suggests a positive relationship between SG&amp;A intensity and revenue growth, indicating that higher commercial spending may be associated with faster expansion in the energy drink market.</t>
  </si>
  <si>
    <t>higher SG&amp;A = Higher growth</t>
  </si>
  <si>
    <t>Sum of SG&amp;A / Revenue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</si>
  <si>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</si>
  <si>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</si>
  <si>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</si>
  <si>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</si>
  <si>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</si>
  <si>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</si>
  <si>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</si>
  <si>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</si>
  <si>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</si>
  <si>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</si>
  <si>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</si>
  <si>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</si>
  <si>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</si>
  <si>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</si>
  <si>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</si>
  <si>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</si>
  <si>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</si>
  <si>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</si>
  <si>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</si>
  <si>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</si>
  <si>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</si>
  <si>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</si>
  <si>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</si>
  <si>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</si>
  <si>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ovo pokazuje</t>
  </si>
  <si>
    <t>kako utice na</t>
  </si>
  <si>
    <t>profit stavka</t>
  </si>
  <si>
    <t>znaci -98%</t>
  </si>
  <si>
    <t>recimo kaze</t>
  </si>
  <si>
    <t xml:space="preserve">da ako </t>
  </si>
  <si>
    <t>podignemo cocgs</t>
  </si>
  <si>
    <t xml:space="preserve">za 1%, profit ide </t>
  </si>
  <si>
    <t>ide na -0.98%</t>
  </si>
  <si>
    <t>“Growth ≠ Profit”</t>
  </si>
  <si>
    <t>Monster+Celsius</t>
  </si>
  <si>
    <t>“Given that EBITDA margin is mechanically linked to cost components such as COGS and SG&amp;A, the extremely high R² is expected and should be interpreted with caution.”</t>
  </si>
  <si>
    <t>Monster invests relatively steadily in marketing and shows stable growth. Celsius invests heavily in marketing and distribution.</t>
  </si>
  <si>
    <t>There is a clear negative relationship between production costs and profitability. Companies with a higher COGS ratio achieve lower EBITDA margins. The chart shows two distinct business strategies: Monster as a mature, efficient company with high margins, and Celsius as a fast-growing competitor with higher costs and lower profitability.</t>
  </si>
  <si>
    <t>Monster shows a stable and efficient cost structure, with a lower COGS-to-revenue ratio and consistently high EBITDA margins.</t>
  </si>
  <si>
    <t>Celsius has a significantly higher production-cost-to-revenue ratio, which is associated with materially lower and more volatile EBITDA margins.</t>
  </si>
  <si>
    <t>This chart shows a clear difference in growth strategy between Monster and Celsius. Monster delivers relatively stable, moderate revenue growth over the period, averaging roughly 12% per year — a pattern typical of a mature company with established distribution, a strong brand, and a stable market share. Celsius, in contrast, shows much faster and more volatile growth, averaging around 69% per year, with several years exceeding 100%, indicating a phase of aggressive expansion and market-share capture. The contrast suggests Monster is a stable market leader with sustainable growth, while Celsius is acting as a fast-growing challenger prioritizing rapid revenue and share gains.</t>
  </si>
  <si>
    <t>On average, Monster spends about 26.3% of its revenue on SG&amp;A, meaning roughly a quarter of every dollar of revenue is reinvested into marketing, distribution, and administrative activities.</t>
  </si>
  <si>
    <t>The results for Monster show an almost perfectly linear relationship between cost structure and profitability. Both COGS/Revenue and SG&amp;A/Revenue have nearly identical negative coefficients (≈ -1), meaning each additional percentage point of cost reduces EBITDA margin by roughly the same amount. Revenue growth, by contrast, is not statistically significant — confirming that Monster's profitability does not depend on growth, but on operational efficiency.</t>
  </si>
  <si>
    <t>The results reveal a fundamental difference between the two companies. For Monster, profitability is driven by both production and operating costs, while for Celsius profitability is determined almost entirely by SG&amp;A. This indicates that Celsius is in a growth phase where aggressive investment in marketing and distribution plays the dominant role in shaping profit margins.</t>
  </si>
  <si>
    <t>This chart clearly illustrates the difference in business models. Monster maintains stable profitability with controlled costs, while Celsius shows wide variation, where growth and high SG&amp;A spending lead to unstable margins.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</si>
</sst>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0" fillId="0" borderId="0" xfId="1" applyNumberFormat="1" applyFont="1"/>
    <xf numFmtId="164" fontId="0" fillId="0" borderId="0" xfId="1" applyNumberFormat="1" applyFont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 wrapText="1"/>
    </xf>
    <xf numFmtId="164" fontId="4" fillId="0" borderId="0" xfId="1" applyNumberFormat="1" applyFont="1" applyFill="1" applyAlignment="1">
      <alignment horizontal="center" vertical="center" wrapText="1"/>
    </xf>
    <xf numFmtId="165" fontId="4" fillId="0" borderId="0" xfId="2" applyNumberFormat="1" applyFont="1" applyFill="1" applyAlignment="1">
      <alignment horizontal="center" vertical="center" wrapText="1"/>
    </xf>
    <xf numFmtId="165" fontId="0" fillId="0" borderId="0" xfId="2" applyNumberFormat="1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0" fillId="0" borderId="0" xfId="0" applyNumberFormat="1"/>
    <xf numFmtId="10" fontId="0" fillId="0" borderId="0" xfId="2" applyNumberFormat="1" applyFont="1"/>
    <xf numFmtId="2" fontId="0" fillId="0" borderId="0" xfId="2" applyNumberFormat="1" applyFont="1"/>
    <xf numFmtId="2" fontId="0" fillId="0" borderId="0" xfId="0" applyNumberFormat="1"/>
    <xf numFmtId="9" fontId="2" fillId="0" borderId="0" xfId="2" applyFont="1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  <xf numFmtId="0" fontId="0" fillId="0" borderId="7" xfId="0" applyBorder="1"/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9" fontId="0" fillId="0" borderId="0" xfId="0" applyNumberFormat="1"/>
    <xf numFmtId="0" fontId="0" fillId="5" borderId="0" xfId="0" applyFill="1"/>
    <xf numFmtId="0" fontId="5" fillId="2" borderId="2" xfId="0" applyFont="1" applyFill="1" applyBorder="1" applyAlignment="1">
      <alignment horizontal="center" vertical="center" wrapText="1"/>
    </xf>
    <xf numFmtId="165" fontId="0" fillId="3" borderId="5" xfId="2" applyNumberFormat="1" applyFont="1" applyFill="1" applyBorder="1" applyAlignment="1">
      <alignment horizontal="center" vertical="center" wrapText="1"/>
    </xf>
    <xf numFmtId="165" fontId="0" fillId="4" borderId="5" xfId="2" applyNumberFormat="1" applyFont="1" applyFill="1" applyBorder="1" applyAlignment="1">
      <alignment horizontal="center" vertical="center" wrapText="1"/>
    </xf>
    <xf numFmtId="1" fontId="0" fillId="3" borderId="9" xfId="2" applyNumberFormat="1" applyFont="1" applyFill="1" applyBorder="1" applyAlignment="1">
      <alignment horizontal="center" vertical="center" wrapText="1"/>
    </xf>
    <xf numFmtId="1" fontId="0" fillId="4" borderId="9" xfId="2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5" fontId="0" fillId="3" borderId="6" xfId="2" applyNumberFormat="1" applyFont="1" applyFill="1" applyBorder="1" applyAlignment="1">
      <alignment horizontal="center" vertical="center" wrapText="1"/>
    </xf>
    <xf numFmtId="165" fontId="0" fillId="4" borderId="6" xfId="2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0" fillId="3" borderId="4" xfId="2" applyNumberFormat="1" applyFont="1" applyFill="1" applyBorder="1" applyAlignment="1">
      <alignment horizontal="center" vertical="center" wrapText="1"/>
    </xf>
    <xf numFmtId="165" fontId="0" fillId="4" borderId="4" xfId="2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1" fontId="0" fillId="3" borderId="10" xfId="2" applyNumberFormat="1" applyFont="1" applyFill="1" applyBorder="1" applyAlignment="1">
      <alignment horizontal="center" vertical="center" wrapText="1"/>
    </xf>
    <xf numFmtId="1" fontId="0" fillId="4" borderId="10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113">
    <dxf>
      <alignment vertical="center"/>
    </dxf>
    <dxf>
      <alignment horizontal="center"/>
    </dxf>
    <dxf>
      <numFmt numFmtId="14" formatCode="0.00%"/>
    </dxf>
    <dxf>
      <numFmt numFmtId="165" formatCode="0.0%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4" formatCode="0.00%"/>
    </dxf>
    <dxf>
      <numFmt numFmtId="165" formatCode="0.0%"/>
    </dxf>
    <dxf>
      <alignment vertical="center"/>
    </dxf>
    <dxf>
      <alignment horizontal="center"/>
    </dxf>
    <dxf>
      <numFmt numFmtId="165" formatCode="0.0%"/>
    </dxf>
    <dxf>
      <numFmt numFmtId="14" formatCode="0.00%"/>
    </dxf>
    <dxf>
      <alignment horizontal="center"/>
    </dxf>
    <dxf>
      <numFmt numFmtId="165" formatCode="0.0%"/>
    </dxf>
    <dxf>
      <numFmt numFmtId="164" formatCode="_(&quot;$&quot;* #,##0_);_(&quot;$&quot;* \(#,##0\);_(&quot;$&quot;* &quot;-&quot;??_);_(@_)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left style="thin">
          <color theme="0"/>
        </left>
        <right style="thin">
          <color theme="0"/>
        </right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right style="thin">
          <color theme="0"/>
        </right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4" formatCode="_(&quot;$&quot;* #,##0_);_(&quot;$&quot;* \(#,##0\);_(&quot;$&quot;* &quot;-&quot;??_);_(@_)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numFmt numFmtId="165" formatCode="0.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Monster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50"/>
              </a:solidFill>
              <a:ln w="9525" cap="rnd">
                <a:noFill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Comparison!$E$3:$E$11</c:f>
              <c:numCache>
                <c:formatCode>0.0%</c:formatCode>
                <c:ptCount val="9"/>
                <c:pt idx="0">
                  <c:v>0.28299999999999997</c:v>
                </c:pt>
                <c:pt idx="1">
                  <c:v>0.25800000000000001</c:v>
                </c:pt>
                <c:pt idx="2">
                  <c:v>0.252</c:v>
                </c:pt>
                <c:pt idx="3">
                  <c:v>0.23699999999999999</c:v>
                </c:pt>
                <c:pt idx="4">
                  <c:v>0.23699999999999999</c:v>
                </c:pt>
                <c:pt idx="5">
                  <c:v>0.26600000000000001</c:v>
                </c:pt>
                <c:pt idx="6">
                  <c:v>0.26600000000000001</c:v>
                </c:pt>
                <c:pt idx="7">
                  <c:v>0.27900000000000003</c:v>
                </c:pt>
                <c:pt idx="8">
                  <c:v>0.28100000000000003</c:v>
                </c:pt>
              </c:numCache>
            </c:numRef>
          </c:xVal>
          <c:yVal>
            <c:numRef>
              <c:f>Comparison!$H$3:$H$11</c:f>
              <c:numCache>
                <c:formatCode>0.0%</c:formatCode>
                <c:ptCount val="9"/>
                <c:pt idx="0">
                  <c:v>4.9395051307228953E-2</c:v>
                </c:pt>
                <c:pt idx="1">
                  <c:v>0.13135326134319963</c:v>
                </c:pt>
                <c:pt idx="2">
                  <c:v>0.13890075923709594</c:v>
                </c:pt>
                <c:pt idx="3">
                  <c:v>0.20499852347586395</c:v>
                </c:pt>
                <c:pt idx="4">
                  <c:v>9.4700342956932929E-2</c:v>
                </c:pt>
                <c:pt idx="5">
                  <c:v>0.10339298110965509</c:v>
                </c:pt>
                <c:pt idx="6">
                  <c:v>0.13004812936603696</c:v>
                </c:pt>
                <c:pt idx="7">
                  <c:v>0.10482479627912834</c:v>
                </c:pt>
                <c:pt idx="8">
                  <c:v>0.12004456093594126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C1-46C4-9AAF-7D38CA6209ED}"/>
            </c:ext>
          </c:extLst>
        </c:ser>
        <c:ser>
          <c:idx val="1"/>
          <c:order val="1"/>
          <c:tx>
            <c:v>Celsius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C000"/>
              </a:solidFill>
              <a:ln w="9525" cap="rnd">
                <a:noFill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Comparison!$E$13:$E$21</c:f>
              <c:numCache>
                <c:formatCode>0.0%</c:formatCode>
                <c:ptCount val="9"/>
                <c:pt idx="0">
                  <c:v>0.38700000000000001</c:v>
                </c:pt>
                <c:pt idx="1">
                  <c:v>0.27800000000000002</c:v>
                </c:pt>
                <c:pt idx="2">
                  <c:v>0.65600000000000003</c:v>
                </c:pt>
                <c:pt idx="3">
                  <c:v>0.42099999999999999</c:v>
                </c:pt>
                <c:pt idx="4">
                  <c:v>0.40600000000000003</c:v>
                </c:pt>
                <c:pt idx="5">
                  <c:v>0.436</c:v>
                </c:pt>
                <c:pt idx="6">
                  <c:v>0.60299999999999998</c:v>
                </c:pt>
                <c:pt idx="7">
                  <c:v>0.65</c:v>
                </c:pt>
                <c:pt idx="8">
                  <c:v>0.55200000000000005</c:v>
                </c:pt>
              </c:numCache>
            </c:numRef>
          </c:xVal>
          <c:yVal>
            <c:numRef>
              <c:f>Comparison!$H$13:$H$21</c:f>
              <c:numCache>
                <c:formatCode>0.0%</c:formatCode>
                <c:ptCount val="9"/>
                <c:pt idx="0">
                  <c:v>2.8539909287761737E-2</c:v>
                </c:pt>
                <c:pt idx="1">
                  <c:v>1.0165329465547945</c:v>
                </c:pt>
                <c:pt idx="2">
                  <c:v>1.0797398431931575</c:v>
                </c:pt>
                <c:pt idx="3">
                  <c:v>1.4040512216391536</c:v>
                </c:pt>
                <c:pt idx="4">
                  <c:v>0.73961421992702103</c:v>
                </c:pt>
                <c:pt idx="5">
                  <c:v>0.42853330544191082</c:v>
                </c:pt>
                <c:pt idx="6">
                  <c:v>0.45459276921974257</c:v>
                </c:pt>
                <c:pt idx="7">
                  <c:v>0.5888621330634094</c:v>
                </c:pt>
                <c:pt idx="8">
                  <c:v>0.32193384994166552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C1-46C4-9AAF-7D38CA6209ED}"/>
            </c:ext>
          </c:extLst>
        </c:ser>
        <c:ser>
          <c:idx val="2"/>
          <c:order val="2"/>
          <c:tx>
            <c:v>Monster 2025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2060"/>
              </a:solidFill>
              <a:ln w="9525" cap="rnd">
                <a:noFill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Comparison!$E$2</c:f>
              <c:numCache>
                <c:formatCode>0.0%</c:formatCode>
                <c:ptCount val="1"/>
                <c:pt idx="0">
                  <c:v>0.26700000000000002</c:v>
                </c:pt>
              </c:numCache>
            </c:numRef>
          </c:xVal>
          <c:yVal>
            <c:numRef>
              <c:f>Comparison!$H$2</c:f>
              <c:numCache>
                <c:formatCode>0.0%</c:formatCode>
                <c:ptCount val="1"/>
                <c:pt idx="0">
                  <c:v>0.10698854045979898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C8-4A6E-BD72-6E97768D9C1D}"/>
            </c:ext>
          </c:extLst>
        </c:ser>
        <c:ser>
          <c:idx val="3"/>
          <c:order val="3"/>
          <c:tx>
            <c:v>Celsius 2025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Comparison!$E$12</c:f>
              <c:numCache>
                <c:formatCode>0.0%</c:formatCode>
                <c:ptCount val="1"/>
                <c:pt idx="0">
                  <c:v>0.318</c:v>
                </c:pt>
              </c:numCache>
            </c:numRef>
          </c:xVal>
          <c:yVal>
            <c:numRef>
              <c:f>Comparison!$H$12</c:f>
              <c:numCache>
                <c:formatCode>0.0%</c:formatCode>
                <c:ptCount val="1"/>
                <c:pt idx="0">
                  <c:v>0.85542441521654133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C8-4A6E-BD72-6E97768D9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736895"/>
        <c:axId val="1979735647"/>
      </c:scatterChart>
      <c:valAx>
        <c:axId val="197973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SG&amp;A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735647"/>
        <c:crosses val="autoZero"/>
        <c:crossBetween val="midCat"/>
      </c:valAx>
      <c:valAx>
        <c:axId val="197973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Growth from previous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73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Monster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50"/>
              </a:solidFill>
              <a:ln w="9525" cap="rnd">
                <a:noFill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Comparison!$D$3:$D$11</c:f>
              <c:numCache>
                <c:formatCode>0.0%</c:formatCode>
                <c:ptCount val="9"/>
                <c:pt idx="0">
                  <c:v>0.46</c:v>
                </c:pt>
                <c:pt idx="1">
                  <c:v>0.46899999999999997</c:v>
                </c:pt>
                <c:pt idx="2">
                  <c:v>0.497</c:v>
                </c:pt>
                <c:pt idx="3">
                  <c:v>0.439</c:v>
                </c:pt>
                <c:pt idx="4">
                  <c:v>0.40799999999999997</c:v>
                </c:pt>
                <c:pt idx="5">
                  <c:v>0.4</c:v>
                </c:pt>
                <c:pt idx="6">
                  <c:v>0.39700000000000002</c:v>
                </c:pt>
                <c:pt idx="7">
                  <c:v>0.36499999999999999</c:v>
                </c:pt>
                <c:pt idx="8">
                  <c:v>0.36299999999999999</c:v>
                </c:pt>
              </c:numCache>
            </c:numRef>
          </c:xVal>
          <c:yVal>
            <c:numRef>
              <c:f>Comparison!$G$3:$G$11</c:f>
              <c:numCache>
                <c:formatCode>0.0%</c:formatCode>
                <c:ptCount val="9"/>
                <c:pt idx="0">
                  <c:v>0.26800000000000002</c:v>
                </c:pt>
                <c:pt idx="1">
                  <c:v>0.28299999999999997</c:v>
                </c:pt>
                <c:pt idx="2">
                  <c:v>0.26100000000000001</c:v>
                </c:pt>
                <c:pt idx="3">
                  <c:v>0.33300000000000002</c:v>
                </c:pt>
                <c:pt idx="4">
                  <c:v>0.36799999999999999</c:v>
                </c:pt>
                <c:pt idx="5">
                  <c:v>0.34799999999999998</c:v>
                </c:pt>
                <c:pt idx="6">
                  <c:v>0.35199999999999998</c:v>
                </c:pt>
                <c:pt idx="7">
                  <c:v>0.37</c:v>
                </c:pt>
                <c:pt idx="8">
                  <c:v>0.36899999999999999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DA-42F4-9567-2588171F3F99}"/>
            </c:ext>
          </c:extLst>
        </c:ser>
        <c:ser>
          <c:idx val="1"/>
          <c:order val="1"/>
          <c:tx>
            <c:v>Celsius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C000"/>
              </a:solidFill>
              <a:ln w="9525" cap="rnd">
                <a:noFill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Comparison!$D$13:$D$21</c:f>
              <c:numCache>
                <c:formatCode>0.0%</c:formatCode>
                <c:ptCount val="9"/>
                <c:pt idx="0">
                  <c:v>0.498</c:v>
                </c:pt>
                <c:pt idx="1">
                  <c:v>0.52</c:v>
                </c:pt>
                <c:pt idx="2">
                  <c:v>0.58599999999999997</c:v>
                </c:pt>
                <c:pt idx="3">
                  <c:v>0.59199999999999997</c:v>
                </c:pt>
                <c:pt idx="4">
                  <c:v>0.53400000000000003</c:v>
                </c:pt>
                <c:pt idx="5">
                  <c:v>0.58299999999999996</c:v>
                </c:pt>
                <c:pt idx="6">
                  <c:v>0.6</c:v>
                </c:pt>
                <c:pt idx="7">
                  <c:v>0.57299999999999995</c:v>
                </c:pt>
                <c:pt idx="8">
                  <c:v>0.57299999999999995</c:v>
                </c:pt>
              </c:numCache>
            </c:numRef>
          </c:xVal>
          <c:yVal>
            <c:numRef>
              <c:f>Comparison!$G$13:$G$21</c:f>
              <c:numCache>
                <c:formatCode>0.0%</c:formatCode>
                <c:ptCount val="9"/>
                <c:pt idx="0">
                  <c:v>0.12</c:v>
                </c:pt>
                <c:pt idx="1">
                  <c:v>0.20499999999999999</c:v>
                </c:pt>
                <c:pt idx="2">
                  <c:v>-0.23899999999999999</c:v>
                </c:pt>
                <c:pt idx="3">
                  <c:v>-1.0999999999999999E-2</c:v>
                </c:pt>
                <c:pt idx="4">
                  <c:v>6.0999999999999999E-2</c:v>
                </c:pt>
                <c:pt idx="5">
                  <c:v>-7.0000000000000001E-3</c:v>
                </c:pt>
                <c:pt idx="6">
                  <c:v>-0.20100000000000001</c:v>
                </c:pt>
                <c:pt idx="7">
                  <c:v>-0.223</c:v>
                </c:pt>
                <c:pt idx="8">
                  <c:v>-0.124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DA-42F4-9567-2588171F3F99}"/>
            </c:ext>
          </c:extLst>
        </c:ser>
        <c:ser>
          <c:idx val="2"/>
          <c:order val="2"/>
          <c:tx>
            <c:v>Monster 2025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2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Comparison!$D$2</c:f>
              <c:numCache>
                <c:formatCode>0.0%</c:formatCode>
                <c:ptCount val="1"/>
                <c:pt idx="0">
                  <c:v>0.442</c:v>
                </c:pt>
              </c:numCache>
            </c:numRef>
          </c:xVal>
          <c:yVal>
            <c:numRef>
              <c:f>Comparison!$G$2</c:f>
              <c:numCache>
                <c:formatCode>0.0%</c:formatCode>
                <c:ptCount val="1"/>
                <c:pt idx="0">
                  <c:v>0.30499999999999999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C-4168-9929-024EF9A1001B}"/>
            </c:ext>
          </c:extLst>
        </c:ser>
        <c:ser>
          <c:idx val="3"/>
          <c:order val="3"/>
          <c:tx>
            <c:v>Celsius 2025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Comparison!$D$12</c:f>
              <c:numCache>
                <c:formatCode>0.0%</c:formatCode>
                <c:ptCount val="1"/>
                <c:pt idx="0">
                  <c:v>0.496</c:v>
                </c:pt>
              </c:numCache>
            </c:numRef>
          </c:xVal>
          <c:yVal>
            <c:numRef>
              <c:f>Comparison!$G$12</c:f>
              <c:numCache>
                <c:formatCode>0.0%</c:formatCode>
                <c:ptCount val="1"/>
                <c:pt idx="0">
                  <c:v>5.6000000000000001E-2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BC-4168-9929-024EF9A10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736895"/>
        <c:axId val="1979735647"/>
      </c:scatterChart>
      <c:valAx>
        <c:axId val="197973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735647"/>
        <c:crosses val="autoZero"/>
        <c:crossBetween val="midCat"/>
      </c:valAx>
      <c:valAx>
        <c:axId val="197973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EBITDA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73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Monster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50"/>
              </a:solidFill>
              <a:ln w="9525" cap="rnd">
                <a:noFill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Comparison!$H$3:$H$11</c:f>
              <c:numCache>
                <c:formatCode>0.0%</c:formatCode>
                <c:ptCount val="9"/>
                <c:pt idx="0">
                  <c:v>4.9395051307228953E-2</c:v>
                </c:pt>
                <c:pt idx="1">
                  <c:v>0.13135326134319963</c:v>
                </c:pt>
                <c:pt idx="2">
                  <c:v>0.13890075923709594</c:v>
                </c:pt>
                <c:pt idx="3">
                  <c:v>0.20499852347586395</c:v>
                </c:pt>
                <c:pt idx="4">
                  <c:v>9.4700342956932929E-2</c:v>
                </c:pt>
                <c:pt idx="5">
                  <c:v>0.10339298110965509</c:v>
                </c:pt>
                <c:pt idx="6">
                  <c:v>0.13004812936603696</c:v>
                </c:pt>
                <c:pt idx="7">
                  <c:v>0.10482479627912834</c:v>
                </c:pt>
                <c:pt idx="8">
                  <c:v>0.12004456093594126</c:v>
                </c:pt>
              </c:numCache>
            </c:numRef>
          </c:xVal>
          <c:yVal>
            <c:numRef>
              <c:f>Comparison!$G$3:$G$11</c:f>
              <c:numCache>
                <c:formatCode>0.0%</c:formatCode>
                <c:ptCount val="9"/>
                <c:pt idx="0">
                  <c:v>0.26800000000000002</c:v>
                </c:pt>
                <c:pt idx="1">
                  <c:v>0.28299999999999997</c:v>
                </c:pt>
                <c:pt idx="2">
                  <c:v>0.26100000000000001</c:v>
                </c:pt>
                <c:pt idx="3">
                  <c:v>0.33300000000000002</c:v>
                </c:pt>
                <c:pt idx="4">
                  <c:v>0.36799999999999999</c:v>
                </c:pt>
                <c:pt idx="5">
                  <c:v>0.34799999999999998</c:v>
                </c:pt>
                <c:pt idx="6">
                  <c:v>0.35199999999999998</c:v>
                </c:pt>
                <c:pt idx="7">
                  <c:v>0.37</c:v>
                </c:pt>
                <c:pt idx="8">
                  <c:v>0.36899999999999999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50-4A44-929B-97B8CE58D8C4}"/>
            </c:ext>
          </c:extLst>
        </c:ser>
        <c:ser>
          <c:idx val="1"/>
          <c:order val="1"/>
          <c:tx>
            <c:v>Celsius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C000"/>
              </a:solidFill>
              <a:ln w="9525" cap="rnd">
                <a:noFill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Comparison!$H$13:$H$21</c:f>
              <c:numCache>
                <c:formatCode>0.0%</c:formatCode>
                <c:ptCount val="9"/>
                <c:pt idx="0">
                  <c:v>2.8539909287761737E-2</c:v>
                </c:pt>
                <c:pt idx="1">
                  <c:v>1.0165329465547945</c:v>
                </c:pt>
                <c:pt idx="2">
                  <c:v>1.0797398431931575</c:v>
                </c:pt>
                <c:pt idx="3">
                  <c:v>1.4040512216391536</c:v>
                </c:pt>
                <c:pt idx="4">
                  <c:v>0.73961421992702103</c:v>
                </c:pt>
                <c:pt idx="5">
                  <c:v>0.42853330544191082</c:v>
                </c:pt>
                <c:pt idx="6">
                  <c:v>0.45459276921974257</c:v>
                </c:pt>
                <c:pt idx="7">
                  <c:v>0.5888621330634094</c:v>
                </c:pt>
                <c:pt idx="8">
                  <c:v>0.32193384994166552</c:v>
                </c:pt>
              </c:numCache>
            </c:numRef>
          </c:xVal>
          <c:yVal>
            <c:numRef>
              <c:f>Comparison!$G$13:$G$21</c:f>
              <c:numCache>
                <c:formatCode>0.0%</c:formatCode>
                <c:ptCount val="9"/>
                <c:pt idx="0">
                  <c:v>0.12</c:v>
                </c:pt>
                <c:pt idx="1">
                  <c:v>0.20499999999999999</c:v>
                </c:pt>
                <c:pt idx="2">
                  <c:v>-0.23899999999999999</c:v>
                </c:pt>
                <c:pt idx="3">
                  <c:v>-1.0999999999999999E-2</c:v>
                </c:pt>
                <c:pt idx="4">
                  <c:v>6.0999999999999999E-2</c:v>
                </c:pt>
                <c:pt idx="5">
                  <c:v>-7.0000000000000001E-3</c:v>
                </c:pt>
                <c:pt idx="6">
                  <c:v>-0.20100000000000001</c:v>
                </c:pt>
                <c:pt idx="7">
                  <c:v>-0.223</c:v>
                </c:pt>
                <c:pt idx="8">
                  <c:v>-0.124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50-4A44-929B-97B8CE58D8C4}"/>
            </c:ext>
          </c:extLst>
        </c:ser>
        <c:ser>
          <c:idx val="2"/>
          <c:order val="2"/>
          <c:tx>
            <c:v>Monster 2025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2060"/>
              </a:solidFill>
              <a:ln w="95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Comparison!$H$2</c:f>
              <c:numCache>
                <c:formatCode>0.0%</c:formatCode>
                <c:ptCount val="1"/>
                <c:pt idx="0">
                  <c:v>0.10698854045979898</c:v>
                </c:pt>
              </c:numCache>
            </c:numRef>
          </c:xVal>
          <c:yVal>
            <c:numRef>
              <c:f>Comparison!$G$2</c:f>
              <c:numCache>
                <c:formatCode>0.0%</c:formatCode>
                <c:ptCount val="1"/>
                <c:pt idx="0">
                  <c:v>0.30499999999999999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7B-4C59-8601-B37D70689D6D}"/>
            </c:ext>
          </c:extLst>
        </c:ser>
        <c:ser>
          <c:idx val="3"/>
          <c:order val="3"/>
          <c:tx>
            <c:v>Celsius 2025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Comparison!$H$12</c:f>
              <c:numCache>
                <c:formatCode>0.0%</c:formatCode>
                <c:ptCount val="1"/>
                <c:pt idx="0">
                  <c:v>0.85542441521654133</c:v>
                </c:pt>
              </c:numCache>
            </c:numRef>
          </c:xVal>
          <c:yVal>
            <c:numRef>
              <c:f>Comparison!$G$12</c:f>
              <c:numCache>
                <c:formatCode>0.0%</c:formatCode>
                <c:ptCount val="1"/>
                <c:pt idx="0">
                  <c:v>5.6000000000000001E-2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7B-4C59-8601-B37D70689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736895"/>
        <c:axId val="1979735647"/>
      </c:scatterChart>
      <c:valAx>
        <c:axId val="197973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cap="all" baseline="0"/>
                  <a:t>Revenue Growth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735647"/>
        <c:crosses val="autoZero"/>
        <c:crossBetween val="midCat"/>
      </c:valAx>
      <c:valAx>
        <c:axId val="197973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cap="all" baseline="0"/>
                  <a:t>EBITDA Margin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73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/>
              <a:t>Cost Structure Drives Profitability: Monster vs Celsius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Regression!$A$93</c:f>
              <c:strCache>
                <c:ptCount val="1"/>
                <c:pt idx="0">
                  <c:v>Monster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317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Regression!$B$95:$B$104</c:f>
              <c:numCache>
                <c:formatCode>0.0%</c:formatCode>
                <c:ptCount val="10"/>
                <c:pt idx="0">
                  <c:v>0.23699999999999999</c:v>
                </c:pt>
                <c:pt idx="1">
                  <c:v>0.23699999999999999</c:v>
                </c:pt>
                <c:pt idx="2">
                  <c:v>0.252</c:v>
                </c:pt>
                <c:pt idx="3">
                  <c:v>0.25800000000000001</c:v>
                </c:pt>
                <c:pt idx="4">
                  <c:v>0.26600000000000001</c:v>
                </c:pt>
                <c:pt idx="5">
                  <c:v>0.26600000000000001</c:v>
                </c:pt>
                <c:pt idx="6">
                  <c:v>0.26700000000000002</c:v>
                </c:pt>
                <c:pt idx="7">
                  <c:v>0.27900000000000003</c:v>
                </c:pt>
                <c:pt idx="8">
                  <c:v>0.28100000000000003</c:v>
                </c:pt>
                <c:pt idx="9">
                  <c:v>0.28299999999999997</c:v>
                </c:pt>
              </c:numCache>
            </c:numRef>
          </c:xVal>
          <c:yVal>
            <c:numRef>
              <c:f>Regression!$C$95:$C$104</c:f>
              <c:numCache>
                <c:formatCode>0.0%</c:formatCode>
                <c:ptCount val="10"/>
                <c:pt idx="0">
                  <c:v>0.36799999999999999</c:v>
                </c:pt>
                <c:pt idx="1">
                  <c:v>0.33300000000000002</c:v>
                </c:pt>
                <c:pt idx="2">
                  <c:v>0.26100000000000001</c:v>
                </c:pt>
                <c:pt idx="3">
                  <c:v>0.28299999999999997</c:v>
                </c:pt>
                <c:pt idx="4">
                  <c:v>0.35199999999999998</c:v>
                </c:pt>
                <c:pt idx="5">
                  <c:v>0.34799999999999998</c:v>
                </c:pt>
                <c:pt idx="6">
                  <c:v>0.30499999999999999</c:v>
                </c:pt>
                <c:pt idx="7">
                  <c:v>0.37</c:v>
                </c:pt>
                <c:pt idx="8">
                  <c:v>0.36899999999999999</c:v>
                </c:pt>
                <c:pt idx="9">
                  <c:v>0.26800000000000002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FA-43C9-9126-A5EDD00B742F}"/>
            </c:ext>
          </c:extLst>
        </c:ser>
        <c:ser>
          <c:idx val="1"/>
          <c:order val="1"/>
          <c:tx>
            <c:strRef>
              <c:f>Regression!$E$93</c:f>
              <c:strCache>
                <c:ptCount val="1"/>
                <c:pt idx="0">
                  <c:v>Celsius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Regression!$E$95:$E$104</c:f>
              <c:numCache>
                <c:formatCode>0.0%</c:formatCode>
                <c:ptCount val="10"/>
                <c:pt idx="0">
                  <c:v>0.27800000000000002</c:v>
                </c:pt>
                <c:pt idx="1">
                  <c:v>0.318</c:v>
                </c:pt>
                <c:pt idx="2">
                  <c:v>0.38700000000000001</c:v>
                </c:pt>
                <c:pt idx="3">
                  <c:v>0.40600000000000003</c:v>
                </c:pt>
                <c:pt idx="4">
                  <c:v>0.42099999999999999</c:v>
                </c:pt>
                <c:pt idx="5">
                  <c:v>0.436</c:v>
                </c:pt>
                <c:pt idx="6">
                  <c:v>0.55200000000000005</c:v>
                </c:pt>
                <c:pt idx="7">
                  <c:v>0.60299999999999998</c:v>
                </c:pt>
                <c:pt idx="8">
                  <c:v>0.65</c:v>
                </c:pt>
                <c:pt idx="9">
                  <c:v>0.65600000000000003</c:v>
                </c:pt>
              </c:numCache>
            </c:numRef>
          </c:xVal>
          <c:yVal>
            <c:numRef>
              <c:f>Regression!$F$95:$F$104</c:f>
              <c:numCache>
                <c:formatCode>0.0%</c:formatCode>
                <c:ptCount val="10"/>
                <c:pt idx="0">
                  <c:v>0.20499999999999999</c:v>
                </c:pt>
                <c:pt idx="1">
                  <c:v>5.6000000000000001E-2</c:v>
                </c:pt>
                <c:pt idx="2">
                  <c:v>0.12</c:v>
                </c:pt>
                <c:pt idx="3">
                  <c:v>6.0999999999999999E-2</c:v>
                </c:pt>
                <c:pt idx="4">
                  <c:v>-1.0999999999999999E-2</c:v>
                </c:pt>
                <c:pt idx="5">
                  <c:v>-7.0000000000000001E-3</c:v>
                </c:pt>
                <c:pt idx="6">
                  <c:v>-0.124</c:v>
                </c:pt>
                <c:pt idx="7">
                  <c:v>-0.20100000000000001</c:v>
                </c:pt>
                <c:pt idx="8">
                  <c:v>-0.223</c:v>
                </c:pt>
                <c:pt idx="9">
                  <c:v>-0.23899999999999999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FA-43C9-9126-A5EDD00B7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112143"/>
        <c:axId val="559117551"/>
      </c:scatterChart>
      <c:valAx>
        <c:axId val="559112143"/>
        <c:scaling>
          <c:orientation val="minMax"/>
          <c:max val="0.65000000000000013"/>
          <c:min val="0.22000000000000003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117551"/>
        <c:crosses val="autoZero"/>
        <c:crossBetween val="midCat"/>
      </c:valAx>
      <c:valAx>
        <c:axId val="55911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11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05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Cost Structure Drives Profitability: Monster</a:t>
            </a:r>
            <a:endParaRPr lang="en-US" sz="1000"/>
          </a:p>
        </c:rich>
      </c:tx>
      <c:layout>
        <c:manualLayout>
          <c:xMode val="edge"/>
          <c:yMode val="edge"/>
          <c:x val="0.17364566929133859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2825896762903"/>
          <c:y val="0.16708333333333336"/>
          <c:w val="0.83492585301837274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317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Regression!$B$95:$B$104</c:f>
              <c:numCache>
                <c:formatCode>0.0%</c:formatCode>
                <c:ptCount val="10"/>
                <c:pt idx="0">
                  <c:v>0.23699999999999999</c:v>
                </c:pt>
                <c:pt idx="1">
                  <c:v>0.23699999999999999</c:v>
                </c:pt>
                <c:pt idx="2">
                  <c:v>0.252</c:v>
                </c:pt>
                <c:pt idx="3">
                  <c:v>0.25800000000000001</c:v>
                </c:pt>
                <c:pt idx="4">
                  <c:v>0.26600000000000001</c:v>
                </c:pt>
                <c:pt idx="5">
                  <c:v>0.26600000000000001</c:v>
                </c:pt>
                <c:pt idx="6">
                  <c:v>0.26700000000000002</c:v>
                </c:pt>
                <c:pt idx="7">
                  <c:v>0.27900000000000003</c:v>
                </c:pt>
                <c:pt idx="8">
                  <c:v>0.28100000000000003</c:v>
                </c:pt>
                <c:pt idx="9">
                  <c:v>0.28299999999999997</c:v>
                </c:pt>
              </c:numCache>
            </c:numRef>
          </c:xVal>
          <c:yVal>
            <c:numRef>
              <c:f>Regression!$C$95:$C$104</c:f>
              <c:numCache>
                <c:formatCode>0.0%</c:formatCode>
                <c:ptCount val="10"/>
                <c:pt idx="0">
                  <c:v>0.36799999999999999</c:v>
                </c:pt>
                <c:pt idx="1">
                  <c:v>0.33300000000000002</c:v>
                </c:pt>
                <c:pt idx="2">
                  <c:v>0.26100000000000001</c:v>
                </c:pt>
                <c:pt idx="3">
                  <c:v>0.28299999999999997</c:v>
                </c:pt>
                <c:pt idx="4">
                  <c:v>0.35199999999999998</c:v>
                </c:pt>
                <c:pt idx="5">
                  <c:v>0.34799999999999998</c:v>
                </c:pt>
                <c:pt idx="6">
                  <c:v>0.30499999999999999</c:v>
                </c:pt>
                <c:pt idx="7">
                  <c:v>0.37</c:v>
                </c:pt>
                <c:pt idx="8">
                  <c:v>0.36899999999999999</c:v>
                </c:pt>
                <c:pt idx="9">
                  <c:v>0.26800000000000002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84-4995-BE54-A530B56A0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157439"/>
        <c:axId val="924162015"/>
      </c:scatterChart>
      <c:valAx>
        <c:axId val="92415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62015"/>
        <c:crosses val="autoZero"/>
        <c:crossBetween val="midCat"/>
      </c:valAx>
      <c:valAx>
        <c:axId val="924162015"/>
        <c:scaling>
          <c:orientation val="minMax"/>
          <c:min val="0.2400000000000000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5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[energy_drink_data.xlsx]Revenue Total!PivotTable1</c:name>
    <c:fmtId val="0"/>
  </c:pivotSource>
  <c:chart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Total'!$B$3:$B$4</c:f>
              <c:strCache>
                <c:ptCount val="1"/>
                <c:pt idx="0">
                  <c:v>Celsius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'Revenue Total'!$A$5:$A$15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'Revenue Total'!$B$5:$B$15</c:f>
              <c:numCache>
                <c:formatCode>_("$"* #,##0_);_("$"* \(#,##0\);_("$"* "-"??_);_(@_)</c:formatCode>
                <c:ptCount val="10"/>
                <c:pt idx="0">
                  <c:v>22760983</c:v>
                </c:pt>
                <c:pt idx="1">
                  <c:v>36164064</c:v>
                </c:pt>
                <c:pt idx="2">
                  <c:v>52603986</c:v>
                </c:pt>
                <c:pt idx="3">
                  <c:v>75146546</c:v>
                </c:pt>
                <c:pt idx="4">
                  <c:v>130726000</c:v>
                </c:pt>
                <c:pt idx="5">
                  <c:v>314272000</c:v>
                </c:pt>
                <c:pt idx="6">
                  <c:v>653604000</c:v>
                </c:pt>
                <c:pt idx="7">
                  <c:v>1318014000</c:v>
                </c:pt>
                <c:pt idx="8">
                  <c:v>1355630000</c:v>
                </c:pt>
                <c:pt idx="9">
                  <c:v>2515269000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F-49FD-8870-9877A8A4140A}"/>
            </c:ext>
          </c:extLst>
        </c:ser>
        <c:ser>
          <c:idx val="1"/>
          <c:order val="1"/>
          <c:tx>
            <c:strRef>
              <c:f>'Revenue Total'!$C$3:$C$4</c:f>
              <c:strCache>
                <c:ptCount val="1"/>
                <c:pt idx="0">
                  <c:v>Monster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'Revenue Total'!$A$5:$A$15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'Revenue Total'!$C$5:$C$15</c:f>
              <c:numCache>
                <c:formatCode>_("$"* #,##0_);_("$"* \(#,##0\);_("$"* "-"??_);_(@_)</c:formatCode>
                <c:ptCount val="10"/>
                <c:pt idx="0">
                  <c:v>3049393000</c:v>
                </c:pt>
                <c:pt idx="1">
                  <c:v>3369045000</c:v>
                </c:pt>
                <c:pt idx="2">
                  <c:v>3807183000</c:v>
                </c:pt>
                <c:pt idx="3">
                  <c:v>4200819000</c:v>
                </c:pt>
                <c:pt idx="4">
                  <c:v>4598638000</c:v>
                </c:pt>
                <c:pt idx="5">
                  <c:v>5541352000</c:v>
                </c:pt>
                <c:pt idx="6">
                  <c:v>6311050000</c:v>
                </c:pt>
                <c:pt idx="7">
                  <c:v>7140027000</c:v>
                </c:pt>
                <c:pt idx="8">
                  <c:v>7492709000</c:v>
                </c:pt>
                <c:pt idx="9">
                  <c:v>8294343000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0F-49FD-8870-9877A8A41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0563023"/>
        <c:axId val="1980640463"/>
      </c:barChart>
      <c:catAx>
        <c:axId val="198056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640463"/>
        <c:crosses val="autoZero"/>
        <c:auto val="1"/>
        <c:lblAlgn val="ctr"/>
        <c:lblOffset val="100"/>
        <c:noMultiLvlLbl val="0"/>
      </c:catAx>
      <c:valAx>
        <c:axId val="198064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5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[energy_drink_data.xlsx]Revenue Growth!PivotTable2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713185303291443E-2"/>
          <c:y val="0.15455766297903287"/>
          <c:w val="0.74579623746125256"/>
          <c:h val="0.701084811207109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Growth'!$B$3:$B$4</c:f>
              <c:strCache>
                <c:ptCount val="1"/>
                <c:pt idx="0">
                  <c:v>Celsius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'Revenue Growth'!$A$5:$A$15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'Revenue Growth'!$B$5:$B$15</c:f>
              <c:numCache>
                <c:formatCode>0.0%</c:formatCode>
                <c:ptCount val="10"/>
                <c:pt idx="0">
                  <c:v>0.32193384994166552</c:v>
                </c:pt>
                <c:pt idx="1">
                  <c:v>0.5888621330634094</c:v>
                </c:pt>
                <c:pt idx="2">
                  <c:v>0.45459276921974257</c:v>
                </c:pt>
                <c:pt idx="3">
                  <c:v>0.42853330544191082</c:v>
                </c:pt>
                <c:pt idx="4">
                  <c:v>0.73961421992702103</c:v>
                </c:pt>
                <c:pt idx="5">
                  <c:v>1.4040512216391536</c:v>
                </c:pt>
                <c:pt idx="6">
                  <c:v>1.0797398431931575</c:v>
                </c:pt>
                <c:pt idx="7">
                  <c:v>1.0165329465547945</c:v>
                </c:pt>
                <c:pt idx="8">
                  <c:v>2.8539909287761737E-2</c:v>
                </c:pt>
                <c:pt idx="9">
                  <c:v>0.85542441521654133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2-4F20-9D1B-486765597FDA}"/>
            </c:ext>
          </c:extLst>
        </c:ser>
        <c:ser>
          <c:idx val="1"/>
          <c:order val="1"/>
          <c:tx>
            <c:strRef>
              <c:f>'Revenue Growth'!$C$3:$C$4</c:f>
              <c:strCache>
                <c:ptCount val="1"/>
                <c:pt idx="0">
                  <c:v>Monster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'Revenue Growth'!$A$5:$A$15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'Revenue Growth'!$C$5:$C$15</c:f>
              <c:numCache>
                <c:formatCode>0.0%</c:formatCode>
                <c:ptCount val="10"/>
                <c:pt idx="0">
                  <c:v>0.12004456093594126</c:v>
                </c:pt>
                <c:pt idx="1">
                  <c:v>0.10482479627912834</c:v>
                </c:pt>
                <c:pt idx="2">
                  <c:v>0.13004812936603696</c:v>
                </c:pt>
                <c:pt idx="3">
                  <c:v>0.10339298110965509</c:v>
                </c:pt>
                <c:pt idx="4">
                  <c:v>9.4700342956932929E-2</c:v>
                </c:pt>
                <c:pt idx="5">
                  <c:v>0.20499852347586395</c:v>
                </c:pt>
                <c:pt idx="6">
                  <c:v>0.13890075923709594</c:v>
                </c:pt>
                <c:pt idx="7">
                  <c:v>0.13135326134319963</c:v>
                </c:pt>
                <c:pt idx="8">
                  <c:v>4.9395051307228953E-2</c:v>
                </c:pt>
                <c:pt idx="9">
                  <c:v>0.10698854045979898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D2-4F20-9D1B-486765597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8899695"/>
        <c:axId val="1118897615"/>
      </c:barChart>
      <c:catAx>
        <c:axId val="1118899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897615"/>
        <c:crosses val="autoZero"/>
        <c:auto val="1"/>
        <c:lblAlgn val="ctr"/>
        <c:lblOffset val="100"/>
        <c:noMultiLvlLbl val="0"/>
      </c:catAx>
      <c:valAx>
        <c:axId val="111889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growth from the past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89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[energy_drink_data.xlsx]COGS!PivotTable2</c:name>
    <c:fmtId val="0"/>
  </c:pivotSource>
  <c:chart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COGS!$B$3:$B$4</c:f>
              <c:strCache>
                <c:ptCount val="1"/>
                <c:pt idx="0">
                  <c:v>Celsius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COGS!$A$5:$A$15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COGS!$B$5:$B$15</c:f>
              <c:numCache>
                <c:formatCode>0.0%</c:formatCode>
                <c:ptCount val="10"/>
                <c:pt idx="0">
                  <c:v>0.57299999999999995</c:v>
                </c:pt>
                <c:pt idx="1">
                  <c:v>0.57299999999999995</c:v>
                </c:pt>
                <c:pt idx="2">
                  <c:v>0.6</c:v>
                </c:pt>
                <c:pt idx="3">
                  <c:v>0.58299999999999996</c:v>
                </c:pt>
                <c:pt idx="4">
                  <c:v>0.53400000000000003</c:v>
                </c:pt>
                <c:pt idx="5">
                  <c:v>0.59199999999999997</c:v>
                </c:pt>
                <c:pt idx="6">
                  <c:v>0.58599999999999997</c:v>
                </c:pt>
                <c:pt idx="7">
                  <c:v>0.52</c:v>
                </c:pt>
                <c:pt idx="8">
                  <c:v>0.498</c:v>
                </c:pt>
                <c:pt idx="9">
                  <c:v>0.496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F-4FAC-8D64-34C0A6E166F0}"/>
            </c:ext>
          </c:extLst>
        </c:ser>
        <c:ser>
          <c:idx val="1"/>
          <c:order val="1"/>
          <c:tx>
            <c:strRef>
              <c:f>COGS!$C$3:$C$4</c:f>
              <c:strCache>
                <c:ptCount val="1"/>
                <c:pt idx="0">
                  <c:v>Monster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COGS!$A$5:$A$15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COGS!$C$5:$C$15</c:f>
              <c:numCache>
                <c:formatCode>0.0%</c:formatCode>
                <c:ptCount val="10"/>
                <c:pt idx="0">
                  <c:v>0.36299999999999999</c:v>
                </c:pt>
                <c:pt idx="1">
                  <c:v>0.36499999999999999</c:v>
                </c:pt>
                <c:pt idx="2">
                  <c:v>0.39700000000000002</c:v>
                </c:pt>
                <c:pt idx="3">
                  <c:v>0.4</c:v>
                </c:pt>
                <c:pt idx="4">
                  <c:v>0.40799999999999997</c:v>
                </c:pt>
                <c:pt idx="5">
                  <c:v>0.439</c:v>
                </c:pt>
                <c:pt idx="6">
                  <c:v>0.497</c:v>
                </c:pt>
                <c:pt idx="7">
                  <c:v>0.46899999999999997</c:v>
                </c:pt>
                <c:pt idx="8">
                  <c:v>0.46</c:v>
                </c:pt>
                <c:pt idx="9">
                  <c:v>0.442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0F-4FAC-8D64-34C0A6E16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880671"/>
        <c:axId val="1640346751"/>
      </c:barChart>
      <c:catAx>
        <c:axId val="104880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6751"/>
        <c:crosses val="autoZero"/>
        <c:auto val="1"/>
        <c:lblAlgn val="ctr"/>
        <c:lblOffset val="100"/>
        <c:noMultiLvlLbl val="0"/>
      </c:catAx>
      <c:valAx>
        <c:axId val="164034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cogs</a:t>
                </a:r>
                <a:r>
                  <a:rPr lang="en-US" baseline="0"/>
                  <a:t> margin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Celsius</c:v>
          </c:tx>
          <c:spPr>
            <a:solidFill>
              <a:srgbClr val="FFC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0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  <c:pt idx="9">
                <c:v>2025</c:v>
              </c:pt>
            </c:strLit>
          </c:cat>
          <c:val>
            <c:numLit>
              <c:formatCode>General</c:formatCode>
              <c:ptCount val="10"/>
              <c:pt idx="0">
                <c:v>0.55200000000000005</c:v>
              </c:pt>
              <c:pt idx="1">
                <c:v>0.65</c:v>
              </c:pt>
              <c:pt idx="2">
                <c:v>0.60299999999999998</c:v>
              </c:pt>
              <c:pt idx="3">
                <c:v>0.436</c:v>
              </c:pt>
              <c:pt idx="4">
                <c:v>0.40600000000000003</c:v>
              </c:pt>
              <c:pt idx="5">
                <c:v>0.42099999999999999</c:v>
              </c:pt>
              <c:pt idx="6">
                <c:v>0.65600000000000003</c:v>
              </c:pt>
              <c:pt idx="7">
                <c:v>0.27800000000000002</c:v>
              </c:pt>
              <c:pt idx="8">
                <c:v>0.38700000000000001</c:v>
              </c:pt>
              <c:pt idx="9">
                <c:v>0.318</c:v>
              </c:pt>
            </c:numLit>
          </c:val>
          <c:extLst>
            <c:ext xmlns:c16="http://schemas.microsoft.com/office/drawing/2014/chart" uri="{C3380CC4-5D6E-409C-BE32-E72D297353CC}">
              <c16:uniqueId val="{00000000-5751-40E9-99F4-9D70CFEC1A6E}"/>
            </c:ext>
          </c:extLst>
        </c:ser>
        <c:ser>
          <c:idx val="1"/>
          <c:order val="1"/>
          <c:tx>
            <c:v>Monster</c:v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0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  <c:pt idx="9">
                <c:v>2025</c:v>
              </c:pt>
            </c:strLit>
          </c:cat>
          <c:val>
            <c:numLit>
              <c:formatCode>General</c:formatCode>
              <c:ptCount val="10"/>
              <c:pt idx="0">
                <c:v>0.28100000000000003</c:v>
              </c:pt>
              <c:pt idx="1">
                <c:v>0.27900000000000003</c:v>
              </c:pt>
              <c:pt idx="2">
                <c:v>0.26600000000000001</c:v>
              </c:pt>
              <c:pt idx="3">
                <c:v>0.26600000000000001</c:v>
              </c:pt>
              <c:pt idx="4">
                <c:v>0.23699999999999999</c:v>
              </c:pt>
              <c:pt idx="5">
                <c:v>0.23699999999999999</c:v>
              </c:pt>
              <c:pt idx="6">
                <c:v>0.252</c:v>
              </c:pt>
              <c:pt idx="7">
                <c:v>0.25800000000000001</c:v>
              </c:pt>
              <c:pt idx="8">
                <c:v>0.28299999999999997</c:v>
              </c:pt>
              <c:pt idx="9">
                <c:v>0.26700000000000002</c:v>
              </c:pt>
            </c:numLit>
          </c:val>
          <c:extLst>
            <c:ext xmlns:c16="http://schemas.microsoft.com/office/drawing/2014/chart" uri="{C3380CC4-5D6E-409C-BE32-E72D297353CC}">
              <c16:uniqueId val="{00000001-5751-40E9-99F4-9D70CFEC1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5653599"/>
        <c:axId val="1195655263"/>
      </c:barChart>
      <c:catAx>
        <c:axId val="1195653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655263"/>
        <c:crosses val="autoZero"/>
        <c:auto val="1"/>
        <c:lblAlgn val="ctr"/>
        <c:lblOffset val="100"/>
        <c:noMultiLvlLbl val="0"/>
      </c:catAx>
      <c:valAx>
        <c:axId val="11956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sg&amp;a</a:t>
                </a:r>
                <a:r>
                  <a:rPr lang="en-US" baseline="0"/>
                  <a:t> margin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65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[energy_drink_data.xlsx]EBITDA!PivotTable5</c:name>
    <c:fmtId val="0"/>
  </c:pivotSource>
  <c:chart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EBITDA!$B$3:$B$4</c:f>
              <c:strCache>
                <c:ptCount val="1"/>
                <c:pt idx="0">
                  <c:v>Celsius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EBITDA!$A$5:$A$15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EBITDA!$B$5:$B$15</c:f>
              <c:numCache>
                <c:formatCode>0.0%</c:formatCode>
                <c:ptCount val="10"/>
                <c:pt idx="0">
                  <c:v>-0.124</c:v>
                </c:pt>
                <c:pt idx="1">
                  <c:v>-0.223</c:v>
                </c:pt>
                <c:pt idx="2">
                  <c:v>-0.20100000000000001</c:v>
                </c:pt>
                <c:pt idx="3">
                  <c:v>-7.0000000000000001E-3</c:v>
                </c:pt>
                <c:pt idx="4">
                  <c:v>6.0999999999999999E-2</c:v>
                </c:pt>
                <c:pt idx="5">
                  <c:v>-1.0999999999999999E-2</c:v>
                </c:pt>
                <c:pt idx="6">
                  <c:v>-0.23899999999999999</c:v>
                </c:pt>
                <c:pt idx="7">
                  <c:v>0.20499999999999999</c:v>
                </c:pt>
                <c:pt idx="8">
                  <c:v>0.12</c:v>
                </c:pt>
                <c:pt idx="9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5-4A92-A0EF-BA24852AD41B}"/>
            </c:ext>
          </c:extLst>
        </c:ser>
        <c:ser>
          <c:idx val="1"/>
          <c:order val="1"/>
          <c:tx>
            <c:strRef>
              <c:f>EBITDA!$C$3:$C$4</c:f>
              <c:strCache>
                <c:ptCount val="1"/>
                <c:pt idx="0">
                  <c:v>Monster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EBITDA!$A$5:$A$15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EBITDA!$C$5:$C$15</c:f>
              <c:numCache>
                <c:formatCode>0.0%</c:formatCode>
                <c:ptCount val="10"/>
                <c:pt idx="0">
                  <c:v>0.36899999999999999</c:v>
                </c:pt>
                <c:pt idx="1">
                  <c:v>0.37</c:v>
                </c:pt>
                <c:pt idx="2">
                  <c:v>0.35199999999999998</c:v>
                </c:pt>
                <c:pt idx="3">
                  <c:v>0.34799999999999998</c:v>
                </c:pt>
                <c:pt idx="4">
                  <c:v>0.36799999999999999</c:v>
                </c:pt>
                <c:pt idx="5">
                  <c:v>0.33300000000000002</c:v>
                </c:pt>
                <c:pt idx="6">
                  <c:v>0.26100000000000001</c:v>
                </c:pt>
                <c:pt idx="7">
                  <c:v>0.28299999999999997</c:v>
                </c:pt>
                <c:pt idx="8">
                  <c:v>0.26800000000000002</c:v>
                </c:pt>
                <c:pt idx="9">
                  <c:v>0.30499999999999999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5-4A92-A0EF-BA24852AD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7079727"/>
        <c:axId val="1197076399"/>
      </c:barChart>
      <c:catAx>
        <c:axId val="119707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076399"/>
        <c:crosses val="autoZero"/>
        <c:auto val="1"/>
        <c:lblAlgn val="ctr"/>
        <c:lblOffset val="100"/>
        <c:noMultiLvlLbl val="0"/>
      </c:catAx>
      <c:valAx>
        <c:axId val="11970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07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21</xdr:row>
      <xdr:rowOff>19051</xdr:rowOff>
    </xdr:from>
    <xdr:to>
      <xdr:col>5</xdr:col>
      <xdr:colOff>752475</xdr:colOff>
      <xdr:row>41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F8BB7F-FA5F-4909-86AA-C7AF94203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152400</xdr:rowOff>
    </xdr:from>
    <xdr:to>
      <xdr:col>5</xdr:col>
      <xdr:colOff>752473</xdr:colOff>
      <xdr:row>63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BBA759-45A8-4368-B66C-D235F8A35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5</xdr:col>
      <xdr:colOff>752473</xdr:colOff>
      <xdr:row>85</xdr:row>
      <xdr:rowOff>47624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3AB34B-94BC-4684-AACB-403C922B4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866775</xdr:colOff>
      <xdr:row>104</xdr:row>
      <xdr:rowOff>176211</xdr:rowOff>
    </xdr:from>
    <xdr:to>
      <xdr:col>6</xdr:col>
      <xdr:colOff>438150</xdr:colOff>
      <xdr:row>126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4386D3-8520-421C-9D7B-3C04A83F6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214312</xdr:colOff>
      <xdr:row>127</xdr:row>
      <xdr:rowOff>23812</xdr:rowOff>
    </xdr:from>
    <xdr:to>
      <xdr:col>4</xdr:col>
      <xdr:colOff>738187</xdr:colOff>
      <xdr:row>141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66439A-9327-4837-B014-897B45C28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15</xdr:row>
      <xdr:rowOff>42861</xdr:rowOff>
    </xdr:from>
    <xdr:to>
      <xdr:col>9</xdr:col>
      <xdr:colOff>400050</xdr:colOff>
      <xdr:row>37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B1E40-3FF5-437A-AF48-E06718C3A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19049</xdr:rowOff>
    </xdr:from>
    <xdr:to>
      <xdr:col>6</xdr:col>
      <xdr:colOff>1143000</xdr:colOff>
      <xdr:row>34</xdr:row>
      <xdr:rowOff>133350</xdr:rowOff>
    </xdr:to>
    <xdr:graphicFrame macro="">
      <xdr:nvGraphicFramePr>
        <xdr:cNvPr id="2" name="Revenue Growth: Monster vs Celsius">
          <a:extLst>
            <a:ext uri="{FF2B5EF4-FFF2-40B4-BE49-F238E27FC236}">
              <a16:creationId xmlns:a16="http://schemas.microsoft.com/office/drawing/2014/main" id="{5785D129-E22D-4919-826A-EA0D199F7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61911</xdr:rowOff>
    </xdr:from>
    <xdr:to>
      <xdr:col>13</xdr:col>
      <xdr:colOff>238124</xdr:colOff>
      <xdr:row>37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482CC-B69B-4B8C-BC20-34D126394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13</xdr:row>
      <xdr:rowOff>152400</xdr:rowOff>
    </xdr:from>
    <xdr:to>
      <xdr:col>7</xdr:col>
      <xdr:colOff>28575</xdr:colOff>
      <xdr:row>32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0CC71-7C64-43A7-A7BF-B0355043B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52386</xdr:rowOff>
    </xdr:from>
    <xdr:to>
      <xdr:col>10</xdr:col>
      <xdr:colOff>190500</xdr:colOff>
      <xdr:row>35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6A68C5-E7C0-4B45-80BC-8D034883A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aroga, Nikola" refreshedDate="46090.691633680559" createdVersion="7" refreshedVersion="7" minRefreshableVersion="3" recordCount="20" xr:uid="{FC3FA25F-23D6-4A35-A9B5-23D8BA551F58}">
  <cacheSource type="worksheet">
    <worksheetSource name="Table5"/>
  </cacheSource>
  <cacheFields count="8">
    <cacheField name="Year" numFmtId="0">
      <sharedItems containsSemiMixedTypes="0" containsString="0" containsNumber="1" containsInteger="1" minValue="2016" maxValue="2025" count="10">
        <n v="2025"/>
        <n v="2024"/>
        <n v="2023"/>
        <n v="2022"/>
        <n v="2021"/>
        <n v="2020"/>
        <n v="2019"/>
        <n v="2018"/>
        <n v="2017"/>
        <n v="2016"/>
      </sharedItems>
    </cacheField>
    <cacheField name="Company" numFmtId="0">
      <sharedItems count="2">
        <s v="Monster"/>
        <s v="Celsius"/>
      </sharedItems>
    </cacheField>
    <cacheField name="Revenue" numFmtId="164">
      <sharedItems containsSemiMixedTypes="0" containsString="0" containsNumber="1" containsInteger="1" minValue="22760983" maxValue="8294343000"/>
    </cacheField>
    <cacheField name="COGS / Revenue" numFmtId="165">
      <sharedItems containsSemiMixedTypes="0" containsString="0" containsNumber="1" minValue="0.36299999999999999" maxValue="0.6"/>
    </cacheField>
    <cacheField name="SG&amp;A / Revenue" numFmtId="165">
      <sharedItems containsSemiMixedTypes="0" containsString="0" containsNumber="1" minValue="0.23699999999999999" maxValue="0.65600000000000003"/>
    </cacheField>
    <cacheField name="Operating Margin" numFmtId="165">
      <sharedItems containsSemiMixedTypes="0" containsString="0" containsNumber="1" minValue="-0.24099999999999999" maxValue="0.35599999999999998"/>
    </cacheField>
    <cacheField name="EBITDA Margin" numFmtId="165">
      <sharedItems containsSemiMixedTypes="0" containsString="0" containsNumber="1" minValue="-0.23899999999999999" maxValue="0.37"/>
    </cacheField>
    <cacheField name="Revenue Growth" numFmtId="165">
      <sharedItems containsSemiMixedTypes="0" containsString="0" containsNumber="1" minValue="2.8539909287761737E-2" maxValue="1.40405122163915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8294343000"/>
    <n v="0.442"/>
    <n v="0.26700000000000002"/>
    <n v="0.29199999999999998"/>
    <n v="0.30499999999999999"/>
    <n v="0.10698854045979898"/>
  </r>
  <r>
    <x v="1"/>
    <x v="0"/>
    <n v="7492709000"/>
    <n v="0.46"/>
    <n v="0.28299999999999997"/>
    <n v="0.25800000000000001"/>
    <n v="0.26800000000000002"/>
    <n v="4.9395051307228953E-2"/>
  </r>
  <r>
    <x v="2"/>
    <x v="0"/>
    <n v="7140027000"/>
    <n v="0.46899999999999997"/>
    <n v="0.25800000000000001"/>
    <n v="0.27400000000000002"/>
    <n v="0.28299999999999997"/>
    <n v="0.13135326134319963"/>
  </r>
  <r>
    <x v="3"/>
    <x v="0"/>
    <n v="6311050000"/>
    <n v="0.497"/>
    <n v="0.252"/>
    <n v="0.251"/>
    <n v="0.26100000000000001"/>
    <n v="0.13890075923709594"/>
  </r>
  <r>
    <x v="4"/>
    <x v="0"/>
    <n v="5541352000"/>
    <n v="0.439"/>
    <n v="0.23699999999999999"/>
    <n v="0.32400000000000001"/>
    <n v="0.33300000000000002"/>
    <n v="0.20499852347586395"/>
  </r>
  <r>
    <x v="5"/>
    <x v="0"/>
    <n v="4598638000"/>
    <n v="0.40799999999999997"/>
    <n v="0.23699999999999999"/>
    <n v="0.35499999999999998"/>
    <n v="0.36799999999999999"/>
    <n v="9.4700342956932929E-2"/>
  </r>
  <r>
    <x v="6"/>
    <x v="0"/>
    <n v="4200819000"/>
    <n v="0.4"/>
    <n v="0.26600000000000001"/>
    <n v="0.33400000000000002"/>
    <n v="0.34799999999999998"/>
    <n v="0.10339298110965509"/>
  </r>
  <r>
    <x v="7"/>
    <x v="0"/>
    <n v="3807183000"/>
    <n v="0.39700000000000002"/>
    <n v="0.26600000000000001"/>
    <n v="0.33700000000000002"/>
    <n v="0.35199999999999998"/>
    <n v="0.13004812936603696"/>
  </r>
  <r>
    <x v="8"/>
    <x v="0"/>
    <n v="3369045000"/>
    <n v="0.36499999999999999"/>
    <n v="0.27900000000000003"/>
    <n v="0.35599999999999998"/>
    <n v="0.37"/>
    <n v="0.10482479627912834"/>
  </r>
  <r>
    <x v="9"/>
    <x v="0"/>
    <n v="3049393000"/>
    <n v="0.36299999999999999"/>
    <n v="0.28100000000000003"/>
    <n v="0.35599999999999998"/>
    <n v="0.36899999999999999"/>
    <n v="0.12004456093594126"/>
  </r>
  <r>
    <x v="0"/>
    <x v="1"/>
    <n v="2515269000"/>
    <n v="0.496"/>
    <n v="0.318"/>
    <n v="5.6000000000000001E-2"/>
    <n v="5.6000000000000001E-2"/>
    <n v="0.85542441521654133"/>
  </r>
  <r>
    <x v="1"/>
    <x v="1"/>
    <n v="1355630000"/>
    <n v="0.498"/>
    <n v="0.38700000000000001"/>
    <n v="0.115"/>
    <n v="0.12"/>
    <n v="2.8539909287761737E-2"/>
  </r>
  <r>
    <x v="2"/>
    <x v="1"/>
    <n v="1318014000"/>
    <n v="0.52"/>
    <n v="0.27800000000000002"/>
    <n v="0.20200000000000001"/>
    <n v="0.20499999999999999"/>
    <n v="1.0165329465547945"/>
  </r>
  <r>
    <x v="3"/>
    <x v="1"/>
    <n v="653604000"/>
    <n v="0.58599999999999997"/>
    <n v="0.65600000000000003"/>
    <n v="-0.24099999999999999"/>
    <n v="-0.23899999999999999"/>
    <n v="1.0797398431931575"/>
  </r>
  <r>
    <x v="4"/>
    <x v="1"/>
    <n v="314272000"/>
    <n v="0.59199999999999997"/>
    <n v="0.42099999999999999"/>
    <n v="-1.2999999999999999E-2"/>
    <n v="-1.0999999999999999E-2"/>
    <n v="1.4040512216391536"/>
  </r>
  <r>
    <x v="5"/>
    <x v="1"/>
    <n v="130726000"/>
    <n v="0.53400000000000003"/>
    <n v="0.40600000000000003"/>
    <n v="6.0999999999999999E-2"/>
    <n v="6.0999999999999999E-2"/>
    <n v="0.73961421992702103"/>
  </r>
  <r>
    <x v="6"/>
    <x v="1"/>
    <n v="75146546"/>
    <n v="0.58299999999999996"/>
    <n v="0.436"/>
    <n v="-1.9E-2"/>
    <n v="-7.0000000000000001E-3"/>
    <n v="0.42853330544191082"/>
  </r>
  <r>
    <x v="7"/>
    <x v="1"/>
    <n v="52603986"/>
    <n v="0.6"/>
    <n v="0.60299999999999998"/>
    <n v="-0.20200000000000001"/>
    <n v="-0.20100000000000001"/>
    <n v="0.45459276921974257"/>
  </r>
  <r>
    <x v="8"/>
    <x v="1"/>
    <n v="36164064"/>
    <n v="0.57299999999999995"/>
    <n v="0.65"/>
    <n v="-0.223"/>
    <n v="-0.223"/>
    <n v="0.5888621330634094"/>
  </r>
  <r>
    <x v="9"/>
    <x v="1"/>
    <n v="22760983"/>
    <n v="0.57299999999999995"/>
    <n v="0.55200000000000005"/>
    <n v="-0.125"/>
    <n v="-0.124"/>
    <n v="0.321933849941665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2D236-EFF8-4A22-AEAB-A5DEEA9497A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15" firstHeaderRow="1" firstDataRow="2" firstDataCol="1"/>
  <pivotFields count="8">
    <pivotField axis="axisRow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dataField="1" numFmtId="164" showAll="0"/>
    <pivotField numFmtId="165" showAll="0"/>
    <pivotField numFmtId="165" showAll="0"/>
    <pivotField numFmtId="165" showAll="0"/>
    <pivotField numFmtId="165" showAll="0"/>
    <pivotField numFmtId="165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Revenue" fld="2" subtotal="average" baseField="0" baseItem="0" numFmtId="164"/>
  </dataFields>
  <formats count="1">
    <format dxfId="22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A3BAA-6C10-40DA-94AD-4D8A648AE3DA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D15" firstHeaderRow="1" firstDataRow="2" firstDataCol="1"/>
  <pivotFields count="8">
    <pivotField axis="axisRow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 sortType="ascending">
      <items count="3">
        <item x="1"/>
        <item x="0"/>
        <item t="default"/>
      </items>
    </pivotField>
    <pivotField numFmtId="164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Revenue Growth" fld="7" subtotal="average" baseField="0" baseItem="0"/>
  </dataFields>
  <formats count="3">
    <format dxfId="21">
      <pivotArea collapsedLevelsAreSubtotals="1" fieldPosition="0">
        <references count="1">
          <reference field="0" count="0"/>
        </references>
      </pivotArea>
    </format>
    <format dxfId="20">
      <pivotArea type="all" dataOnly="0" outline="0" fieldPosition="0"/>
    </format>
    <format dxfId="19">
      <pivotArea dataOnly="0" grandRow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5495B-1474-47E1-80CC-26DA96B01338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15" firstHeaderRow="1" firstDataRow="2" firstDataCol="1"/>
  <pivotFields count="8">
    <pivotField axis="axisRow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numFmtId="164" showAll="0"/>
    <pivotField dataField="1" numFmtId="165" showAll="0"/>
    <pivotField numFmtId="165" showAll="0"/>
    <pivotField numFmtId="165" showAll="0"/>
    <pivotField numFmtId="165" showAll="0"/>
    <pivotField numFmtId="165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COGS / Revenue" fld="3" subtotal="average" baseField="0" baseItem="0" numFmtId="165"/>
  </dataFields>
  <formats count="1">
    <format dxfId="18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2D971-B10A-456D-BC9C-E3354F6F9AC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1">
  <location ref="A1:D13" firstHeaderRow="1" firstDataRow="2" firstDataCol="1"/>
  <pivotFields count="8">
    <pivotField axis="axisRow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numFmtId="164" showAll="0"/>
    <pivotField numFmtId="165" showAll="0"/>
    <pivotField dataField="1" numFmtId="165" showAll="0"/>
    <pivotField numFmtId="165" showAll="0"/>
    <pivotField numFmtId="165" showAll="0"/>
    <pivotField numFmtId="165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G&amp;A / Revenue" fld="4" baseField="0" baseItem="0" numFmtId="165"/>
  </dataFields>
  <formats count="4">
    <format dxfId="17">
      <pivotArea type="all" dataOnly="0" outline="0" fieldPosition="0"/>
    </format>
    <format dxfId="16">
      <pivotArea type="all" dataOnly="0" outline="0" fieldPosition="0"/>
    </format>
    <format dxfId="15">
      <pivotArea collapsedLevelsAreSubtotals="1" fieldPosition="0">
        <references count="1">
          <reference field="0" count="0"/>
        </references>
      </pivotArea>
    </format>
    <format dxfId="14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66615-0F2C-4992-91E4-9B46E29EA72F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15" firstHeaderRow="1" firstDataRow="2" firstDataCol="1"/>
  <pivotFields count="8">
    <pivotField axis="axisRow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numFmtId="164" showAll="0"/>
    <pivotField numFmtId="165" showAll="0"/>
    <pivotField numFmtId="165" showAll="0"/>
    <pivotField numFmtId="165" showAll="0"/>
    <pivotField dataField="1" numFmtId="165" showAll="0"/>
    <pivotField numFmtId="165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EBITDA Margin" fld="6" subtotal="average" baseField="0" baseItem="0" numFmtId="165"/>
  </dataFields>
  <formats count="4">
    <format dxfId="3">
      <pivotArea outline="0" collapsedLevelsAreSubtotals="1" fieldPosition="0"/>
    </format>
    <format dxfId="2">
      <pivotArea grandRow="1" outline="0" collapsedLevelsAreSubtotals="1" fieldPosition="0"/>
    </format>
    <format dxfId="1">
      <pivotArea type="all" dataOnly="0" outline="0" fieldPosition="0"/>
    </format>
    <format dxfId="0">
      <pivotArea type="all" dataOnly="0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C7666-87C2-44AC-BF66-5B99D743DE31}" name="Table1" displayName="Table1" ref="A1:N11" totalsRowShown="0" headerRowDxfId="90" dataDxfId="89">
  <autoFilter ref="A1:N11" xr:uid="{12CC7666-87C2-44AC-BF66-5B99D743DE31}"/>
  <tableColumns count="14">
    <tableColumn id="1" xr3:uid="{669E1EC3-F0D6-404C-AA31-77D43194A615}" name="Year" dataDxfId="88"/>
    <tableColumn id="2" xr3:uid="{D62E2348-5053-4685-B0B1-18E4ABA3EA17}" name="Revenue (Net Sales)" dataDxfId="87" dataCellStyle="Currency"/>
    <tableColumn id="3" xr3:uid="{0B985400-D7D7-4F1D-B7D7-B73272B18CDD}" name="COGS (Cost of Sales) = Gross Profit - Revenue" dataDxfId="86" dataCellStyle="Currency"/>
    <tableColumn id="4" xr3:uid="{B1C06E9E-274F-40A9-9B5F-46AA4D734E1A}" name="Operating Expenses (SG&amp;A proxy)" dataDxfId="85" dataCellStyle="Currency"/>
    <tableColumn id="14" xr3:uid="{C232F6D7-5158-4B0F-8AAF-D7F1826BC84B}" name="Operating Income" dataDxfId="84" dataCellStyle="Currency"/>
    <tableColumn id="15" xr3:uid="{9D39DE05-CAE1-44D8-B880-3115C092EAE4}" name="Depreciation &amp; Amortization" dataDxfId="83" dataCellStyle="Currency"/>
    <tableColumn id="16" xr3:uid="{772F863D-1D03-4467-8C7B-02AC4DBD2291}" name="EBITDA" dataDxfId="82" dataCellStyle="Currency">
      <calculatedColumnFormula>Table1[[#This Row],[Operating Income]]+Table1[[#This Row],[Depreciation &amp; Amortization]]</calculatedColumnFormula>
    </tableColumn>
    <tableColumn id="5" xr3:uid="{CDD3072E-187F-4035-AB7D-23920CA1FF14}" name="Selling &amp; Marketing (if reported separately)" dataDxfId="81" dataCellStyle="Currency"/>
    <tableColumn id="6" xr3:uid="{7DA2FF70-78DD-4352-BF35-5C01BA6663BF}" name="General &amp; Administrative (if reported separately)" dataDxfId="80" dataCellStyle="Currency"/>
    <tableColumn id="7" xr3:uid="{C9FCDC44-19E3-4A36-8D08-05334385D01A}" name="R&amp;D / Product Development" dataDxfId="79" dataCellStyle="Currency"/>
    <tableColumn id="11" xr3:uid="{447B7E37-DF1B-4E23-A181-60E3B80A2142}" name="COGS / Revenue" dataDxfId="78" dataCellStyle="Currency">
      <calculatedColumnFormula>Table1[[#This Row],[COGS (Cost of Sales) = Gross Profit - Revenue]]/Table1[[#This Row],[Revenue (Net Sales)]]</calculatedColumnFormula>
    </tableColumn>
    <tableColumn id="12" xr3:uid="{6509786E-EB7A-424E-ACCE-F0B4F45AB342}" name="SG&amp;A / Revenue" dataDxfId="77" dataCellStyle="Percent">
      <calculatedColumnFormula>Table1[[#This Row],[Operating Expenses (SG&amp;A proxy)]]/Table1[[#This Row],[Revenue (Net Sales)]]</calculatedColumnFormula>
    </tableColumn>
    <tableColumn id="13" xr3:uid="{7958EE42-6B84-41C4-A756-31EA5495843F}" name="Operating Margin (Operating Income / Revenue)" dataDxfId="76" dataCellStyle="Percent">
      <calculatedColumnFormula>Table1[[#This Row],[Operating Income]]/Table1[[#This Row],[Revenue (Net Sales)]]</calculatedColumnFormula>
    </tableColumn>
    <tableColumn id="8" xr3:uid="{737945B8-78BC-44D0-9CC5-52C1BC795F45}" name="EBITDA Margin (EBITDA / Revenue)" dataDxfId="75" dataCellStyle="Percent">
      <calculatedColumnFormula>Table1[[#This Row],[EBITDA]]/Table1[[#This Row],[Revenue (Net Sales)]]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4AF4D3-42CD-4EBE-9A79-599516AB8297}" name="Table14" displayName="Table14" ref="A22:N32" totalsRowShown="0" headerRowDxfId="74" dataDxfId="73">
  <autoFilter ref="A22:N32" xr:uid="{0F4AF4D3-42CD-4EBE-9A79-599516AB8297}"/>
  <tableColumns count="14">
    <tableColumn id="1" xr3:uid="{4D057146-94E1-40AE-86C4-ED710098C2E4}" name="Year" dataDxfId="72"/>
    <tableColumn id="2" xr3:uid="{93168541-1E08-477D-8DF7-CBE00AF0446D}" name="Revenue (Net Sales)" dataDxfId="71" dataCellStyle="Currency"/>
    <tableColumn id="3" xr3:uid="{48D5ACDA-179B-4E28-A34F-C78FCB1074C9}" name="COGS (Cost of Sales) = Gross Profit - Revenue" dataDxfId="70" dataCellStyle="Currency"/>
    <tableColumn id="4" xr3:uid="{3752662D-B2C1-4D61-9DFF-561C4CCBE07D}" name="Operating Expenses (SG&amp;A proxy)" dataDxfId="69" dataCellStyle="Currency">
      <calculatedColumnFormula>Table14[[#This Row],[Selling &amp; Marketing (if reported separately)]]+Table14[[#This Row],[General &amp; Administrative (if reported separately)]]</calculatedColumnFormula>
    </tableColumn>
    <tableColumn id="14" xr3:uid="{C7A8EBDB-0EB8-40A6-8AF2-46BC391A0DD0}" name="Operating Income" dataDxfId="68" dataCellStyle="Currency"/>
    <tableColumn id="15" xr3:uid="{95397316-2F34-4BAA-8EC9-A11A459469E3}" name="Depreciation &amp; Amortization" dataDxfId="67" dataCellStyle="Currency"/>
    <tableColumn id="16" xr3:uid="{9A449693-1897-44A3-BA78-10D3062847C5}" name="EBITDA" dataDxfId="66" dataCellStyle="Currency">
      <calculatedColumnFormula>Table14[[#This Row],[Operating Income]]+Table14[[#This Row],[Depreciation &amp; Amortization]]</calculatedColumnFormula>
    </tableColumn>
    <tableColumn id="5" xr3:uid="{E0967F82-9C57-4C98-9A4D-8E0FEE8AD174}" name="Selling &amp; Marketing (if reported separately)" dataDxfId="65" dataCellStyle="Currency"/>
    <tableColumn id="6" xr3:uid="{103DC179-FE08-4A24-9D37-E95D6892E251}" name="General &amp; Administrative (if reported separately)" dataDxfId="64" dataCellStyle="Currency"/>
    <tableColumn id="7" xr3:uid="{DB6B5947-B87A-4658-AB58-E44AB41CBFB1}" name="R&amp;D / Product Development" dataDxfId="63" dataCellStyle="Currency"/>
    <tableColumn id="11" xr3:uid="{403BBF02-66C8-4677-A608-E2B38CF39C99}" name="COGS / Revenue" dataDxfId="62" dataCellStyle="Currency">
      <calculatedColumnFormula>Table14[[#This Row],[COGS (Cost of Sales) = Gross Profit - Revenue]]/Table14[[#This Row],[Revenue (Net Sales)]]</calculatedColumnFormula>
    </tableColumn>
    <tableColumn id="12" xr3:uid="{553FFF9A-64D1-40D4-967B-121715269E6B}" name="SG&amp;A / Revenue" dataDxfId="61" dataCellStyle="Percent">
      <calculatedColumnFormula>Table14[[#This Row],[Operating Expenses (SG&amp;A proxy)]]/Table14[[#This Row],[Revenue (Net Sales)]]</calculatedColumnFormula>
    </tableColumn>
    <tableColumn id="13" xr3:uid="{6752579E-1F2C-4D59-96D0-A5348FCC0279}" name="Operating Margin (Operating Income / Revenue)" dataDxfId="60" dataCellStyle="Percent">
      <calculatedColumnFormula>Table14[[#This Row],[Operating Income]]/Table14[[#This Row],[Revenue (Net Sales)]]</calculatedColumnFormula>
    </tableColumn>
    <tableColumn id="8" xr3:uid="{3AB02E25-3489-4FA3-943B-E5900B762BDA}" name="EBITDA Margin (EBITDA / Revenue)" dataDxfId="59" dataCellStyle="Percent">
      <calculatedColumnFormula>Table14[[#This Row],[EBITDA]]/Table14[[#This Row],[Revenue (Net Sales)]]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063FE7-70A8-4219-BC59-71DF9442B46B}" name="Table145" displayName="Table145" ref="A39:N49" totalsRowShown="0" headerRowDxfId="58" dataDxfId="57">
  <autoFilter ref="A39:N49" xr:uid="{0A063FE7-70A8-4219-BC59-71DF9442B46B}"/>
  <tableColumns count="14">
    <tableColumn id="1" xr3:uid="{4CEF6C5A-F5CC-4462-82D1-44B7C4749538}" name="Year" dataDxfId="56"/>
    <tableColumn id="2" xr3:uid="{A1DB86DA-D410-40C7-9378-C03C1C8EF3B5}" name="Revenue (Net Sales)" dataDxfId="55" dataCellStyle="Currency"/>
    <tableColumn id="3" xr3:uid="{D8E1D4C8-DAB0-4164-B1BC-E8F5D051EF89}" name="COGS (Cost of Sales) = Gross Profit - Revenue" dataDxfId="54" dataCellStyle="Currency"/>
    <tableColumn id="4" xr3:uid="{E222154A-9691-4D9A-AAB1-42CD62BE84BC}" name="Operating Expenses (SG&amp;A proxy)" dataDxfId="53" dataCellStyle="Currency">
      <calculatedColumnFormula>Table145[[#This Row],[Selling &amp; Marketing (if reported separately)]]+Table145[[#This Row],[General &amp; Administrative (if reported separately)]]</calculatedColumnFormula>
    </tableColumn>
    <tableColumn id="14" xr3:uid="{D72E47DF-EB62-4D9E-AB4D-8E40AE5726D4}" name="Operating Income" dataDxfId="52" dataCellStyle="Currency"/>
    <tableColumn id="15" xr3:uid="{BD8446C9-A843-40B7-9C1D-8383993405EF}" name="Depreciation &amp; Amortization" dataDxfId="51" dataCellStyle="Currency"/>
    <tableColumn id="16" xr3:uid="{36EAD435-9452-4446-B1C3-FE3C7C227D51}" name="EBITDA" dataDxfId="50" dataCellStyle="Currency">
      <calculatedColumnFormula>Table145[[#This Row],[Operating Income]]+Table145[[#This Row],[Depreciation &amp; Amortization]]</calculatedColumnFormula>
    </tableColumn>
    <tableColumn id="5" xr3:uid="{5E76EABA-6F63-449E-A86C-AB8E423ECACA}" name="Selling &amp; Marketing (if reported separately)" dataDxfId="49" dataCellStyle="Currency"/>
    <tableColumn id="6" xr3:uid="{B28FE7BE-CCF3-4051-A3B0-761CCC6678EC}" name="General &amp; Administrative (if reported separately)" dataDxfId="48" dataCellStyle="Currency"/>
    <tableColumn id="7" xr3:uid="{6EF82852-9BEE-48E0-A297-BEEB4BA2ED18}" name="R&amp;D / Product Development" dataDxfId="47" dataCellStyle="Currency"/>
    <tableColumn id="11" xr3:uid="{8D2539BC-D8A7-4E21-9CE8-2D4BE10AB02A}" name="COGS / Revenue" dataDxfId="46" dataCellStyle="Currency">
      <calculatedColumnFormula>Table145[[#This Row],[COGS (Cost of Sales) = Gross Profit - Revenue]]/Table145[[#This Row],[Revenue (Net Sales)]]</calculatedColumnFormula>
    </tableColumn>
    <tableColumn id="12" xr3:uid="{58476F40-79A2-45E4-A9C0-65944E398305}" name="SG&amp;A / Revenue" dataDxfId="45" dataCellStyle="Percent">
      <calculatedColumnFormula>Table145[[#This Row],[Operating Expenses (SG&amp;A proxy)]]/Table145[[#This Row],[Revenue (Net Sales)]]</calculatedColumnFormula>
    </tableColumn>
    <tableColumn id="13" xr3:uid="{0BA5A046-50C6-4091-A865-A2AB841B4BBA}" name="Operating Margin (Operating Income / Revenue)" dataDxfId="44" dataCellStyle="Percent">
      <calculatedColumnFormula>Table145[[#This Row],[Operating Income]]/Table145[[#This Row],[Revenue (Net Sales)]]</calculatedColumnFormula>
    </tableColumn>
    <tableColumn id="8" xr3:uid="{0FAB2FBD-06D1-4B3B-8655-517B8C98A964}" name="EBITDA Margin (EBITDA / Revenue)" dataDxfId="43" dataCellStyle="Percent">
      <calculatedColumnFormula>Table145[[#This Row],[EBITDA]]/Table145[[#This Row],[Revenue (Net Sales)]]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08EFA6-C456-4110-901B-85A66D056BFE}" name="Table5" displayName="Table5" ref="A54:H74" totalsRowShown="0" headerRowDxfId="42" dataDxfId="41">
  <autoFilter ref="A54:H74" xr:uid="{0B08EFA6-C456-4110-901B-85A66D056BFE}"/>
  <tableColumns count="8">
    <tableColumn id="1" xr3:uid="{B5BE1B82-C350-43A8-9A01-A2A9E0741F2B}" name="Year" dataDxfId="40"/>
    <tableColumn id="2" xr3:uid="{4EE582B5-6087-44DE-9940-38756E605FFE}" name="Company" dataDxfId="39"/>
    <tableColumn id="3" xr3:uid="{17D42927-5AC2-4470-A67E-CF85CD4535BC}" name="Revenue" dataDxfId="38" dataCellStyle="Currency"/>
    <tableColumn id="4" xr3:uid="{F429A2EF-7163-4D23-B6A6-64D044C3D450}" name="COGS / Revenue" dataDxfId="37" dataCellStyle="Percent"/>
    <tableColumn id="5" xr3:uid="{B3F111BA-52C6-42B8-9396-BBC7E17B73BF}" name="SG&amp;A / Revenue" dataDxfId="36" dataCellStyle="Percent"/>
    <tableColumn id="6" xr3:uid="{95E1DEB2-5FF9-40E0-80C9-BBD89F0E04E9}" name="Operating Margin" dataDxfId="35" dataCellStyle="Percent"/>
    <tableColumn id="7" xr3:uid="{4150B711-6C20-4D30-8A4E-217B11FAB7E5}" name="EBITDA Margin" dataDxfId="34" dataCellStyle="Percent"/>
    <tableColumn id="8" xr3:uid="{8E1887E2-C745-46E7-8E67-9DA3BF450949}" name="Revenue Growth" dataDxfId="33" dataCellStyle="Percent">
      <calculatedColumnFormula>(Table5[[#This Row],[Revenue]]-C56)/C56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EC8B91-C98B-4C7B-8096-2A0AFCE15F1A}" name="Table53" displayName="Table53" ref="A1:H21" totalsRowShown="0" headerRowDxfId="32" dataDxfId="31">
  <autoFilter ref="A1:H21" xr:uid="{FFEC8B91-C98B-4C7B-8096-2A0AFCE15F1A}"/>
  <tableColumns count="8">
    <tableColumn id="1" xr3:uid="{C1A53C86-CC7F-49D1-9246-CF466907A5F3}" name="Year" dataDxfId="30"/>
    <tableColumn id="2" xr3:uid="{221088CF-7BBA-4E48-B317-AAC57ACD9A06}" name="Company" dataDxfId="29"/>
    <tableColumn id="3" xr3:uid="{0E7178E9-A2D3-4E5E-BE1B-EB95AAB9B384}" name="Revenue" dataDxfId="28" dataCellStyle="Currency"/>
    <tableColumn id="4" xr3:uid="{F31D668A-33D8-4460-AE5B-0213B3201439}" name="COGS / Revenue" dataDxfId="27" dataCellStyle="Percent"/>
    <tableColumn id="5" xr3:uid="{AA776096-4514-4555-91E9-E05CED135B1D}" name="SG&amp;A / Revenue" dataDxfId="26" dataCellStyle="Percent"/>
    <tableColumn id="6" xr3:uid="{6A401648-B998-43F6-A81A-6C529374F3BE}" name="Operating Margin" dataDxfId="25" dataCellStyle="Percent"/>
    <tableColumn id="7" xr3:uid="{2BB9B2D1-6B00-4F02-BC3D-E593E82B7C27}" name="EBITDA Margin" dataDxfId="24" dataCellStyle="Percent"/>
    <tableColumn id="8" xr3:uid="{068A3013-4770-49E0-9E7E-2FD086DADCE7}" name="Revenue Growth" dataDxfId="23" dataCellStyle="Percent">
      <calculatedColumnFormula>(Table53[[#This Row],[Revenue]]-C3)/C3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DDB123-6097-4F88-8F14-4F8868A92BBD}" name="Table538" displayName="Table538" ref="A1:H21" totalsRowShown="0" headerRowDxfId="112" dataDxfId="111">
  <autoFilter ref="A1:H21" xr:uid="{D0DDB123-6097-4F88-8F14-4F8868A92BBD}"/>
  <sortState xmlns:xlrd2="http://schemas.microsoft.com/office/spreadsheetml/2017/richdata2" ref="A2:H21">
    <sortCondition ref="B1:B21"/>
  </sortState>
  <tableColumns count="8">
    <tableColumn id="1" xr3:uid="{CF42EA41-E117-4309-B956-C07DCF0155E3}" name="Year" dataDxfId="110"/>
    <tableColumn id="2" xr3:uid="{C35DF922-A8A3-4825-9EF8-CFDF276F0EDB}" name="Company" dataDxfId="109"/>
    <tableColumn id="7" xr3:uid="{4681B012-BAF0-438A-9C7A-D325B758181C}" name="EBITDA Margin" dataDxfId="108" dataCellStyle="Percent"/>
    <tableColumn id="6" xr3:uid="{EC123C35-A8B7-4900-A5A8-739C5EDC1FB2}" name="Operating Margin" dataDxfId="107" dataCellStyle="Percent"/>
    <tableColumn id="4" xr3:uid="{8B78B819-67A3-4295-A001-7993CAAFE01A}" name="COGS / Revenue" dataDxfId="106" dataCellStyle="Percent"/>
    <tableColumn id="5" xr3:uid="{440CBA9C-5E08-41C0-BAF3-1B42370097D5}" name="SG&amp;A / Revenue" dataDxfId="105" dataCellStyle="Percent"/>
    <tableColumn id="8" xr3:uid="{928AE2EA-D317-4C21-B253-673DDA1C1C9C}" name="Revenue Growth" dataDxfId="104" dataCellStyle="Percent">
      <calculatedColumnFormula>(Table538[[#This Row],[Revenue]]-H3)/H3</calculatedColumnFormula>
    </tableColumn>
    <tableColumn id="3" xr3:uid="{C0868816-9B07-4A5C-A809-D1A3AFB9E60F}" name="Revenue" dataDxfId="103" dataCellStyle="Currenc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B0DA3E-38A1-4884-8EA1-197B75A2D231}" name="Table8" displayName="Table8" ref="A94:C104" totalsRowShown="0" headerRowDxfId="102" dataDxfId="101" tableBorderDxfId="100">
  <autoFilter ref="A94:C104" xr:uid="{EEB0DA3E-38A1-4884-8EA1-197B75A2D231}"/>
  <sortState xmlns:xlrd2="http://schemas.microsoft.com/office/spreadsheetml/2017/richdata2" ref="A95:C104">
    <sortCondition ref="B95:B104"/>
  </sortState>
  <tableColumns count="3">
    <tableColumn id="1" xr3:uid="{C8A33488-970B-438C-B0DF-6EDBA5134CB7}" name="Year" dataDxfId="99" dataCellStyle="Percent"/>
    <tableColumn id="2" xr3:uid="{5C85434A-3FAC-47E9-9EA0-54F93E1280A0}" name="SG&amp;A / Revenue" dataDxfId="98" dataCellStyle="Percent"/>
    <tableColumn id="3" xr3:uid="{5FF1FF37-71BF-4443-848C-D2C15F650DD4}" name="EBITDA Margin" dataDxfId="97" dataCellStyle="Percen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DB8176-8045-482A-8AFB-FF615B745CD6}" name="Table9" displayName="Table9" ref="E94:G104" totalsRowShown="0" headerRowDxfId="96" dataDxfId="95" tableBorderDxfId="94">
  <autoFilter ref="E94:G104" xr:uid="{A5DB8176-8045-482A-8AFB-FF615B745CD6}"/>
  <sortState xmlns:xlrd2="http://schemas.microsoft.com/office/spreadsheetml/2017/richdata2" ref="E95:G104">
    <sortCondition ref="E95:E104"/>
  </sortState>
  <tableColumns count="3">
    <tableColumn id="1" xr3:uid="{9B4D04DE-4EF8-4214-AE09-5A173C57DE76}" name="SG&amp;A / Revenue" dataDxfId="93" dataCellStyle="Percent"/>
    <tableColumn id="2" xr3:uid="{128093F9-FBCC-4899-8A04-803C54580F5C}" name="EBITDA Margin" dataDxfId="92" dataCellStyle="Percent"/>
    <tableColumn id="3" xr3:uid="{4D00D5E2-C5DD-4186-AFEF-1FE2E1A66CBD}" name="Year" dataDxfId="91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150EA3-94AE-4BB2-98F3-A3642CBAC328}" name="Table57" displayName="Table57" ref="M3:T23" totalsRowShown="0" headerRowDxfId="13" dataDxfId="12" headerRowCellStyle="Percent" dataCellStyle="Percent">
  <autoFilter ref="M3:T23" xr:uid="{25150EA3-94AE-4BB2-98F3-A3642CBAC328}"/>
  <tableColumns count="8">
    <tableColumn id="1" xr3:uid="{0FF8522A-B276-4A27-B845-368F42CE3A06}" name="Year" dataDxfId="11" dataCellStyle="Percent"/>
    <tableColumn id="2" xr3:uid="{EF4C8AB7-1A64-4F96-BC5F-F542D5CC0ACD}" name="Company" dataDxfId="10" dataCellStyle="Percent"/>
    <tableColumn id="3" xr3:uid="{C1A91656-1C31-4D0A-8CD4-B01F815DCD8E}" name="Revenue" dataDxfId="9" dataCellStyle="Percent"/>
    <tableColumn id="4" xr3:uid="{B020067E-0C8C-44C7-B872-193777EE87C8}" name="COGS / Revenue" dataDxfId="8" dataCellStyle="Percent"/>
    <tableColumn id="5" xr3:uid="{5D2B02C4-7CB9-49D0-94FA-85E89BFF3020}" name="SG&amp;A / Revenue" dataDxfId="7" dataCellStyle="Percent"/>
    <tableColumn id="6" xr3:uid="{D86B44AA-5B55-4FA5-8EE6-A0197C1E525E}" name="Operating Margin" dataDxfId="6" dataCellStyle="Percent"/>
    <tableColumn id="7" xr3:uid="{8723E81C-7DFB-4068-B087-78B03CEFAC00}" name="EBITDA Margin" dataDxfId="5" dataCellStyle="Percent"/>
    <tableColumn id="8" xr3:uid="{D4F9525E-B01A-418A-9EFA-D4C871769017}" name="Revenue Growth" dataDxfId="4" dataCellStyle="Percent">
      <calculatedColumnFormula>(Table57[[#This Row],[Revenue]]-O5)/O5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CC52AE-AF7F-471B-A2D0-EB50153F75C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fe9c45c-69ef-4f3c-86d8-58e81ed365b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zoomScale="85" zoomScaleNormal="85" workbookViewId="0">
      <selection activeCell="G81" sqref="G81"/>
    </sheetView>
  </sheetViews>
  <sheetFormatPr defaultRowHeight="14.4"/>
  <cols>
    <col min="1" max="1" width="12.6640625" customWidth="1"/>
    <col min="2" max="2" width="18" bestFit="1" customWidth="1"/>
    <col min="3" max="3" width="18.33203125" bestFit="1" customWidth="1"/>
    <col min="4" max="4" width="17" customWidth="1"/>
    <col min="5" max="5" width="17.109375" customWidth="1"/>
    <col min="6" max="6" width="17.88671875" customWidth="1"/>
    <col min="7" max="7" width="15.88671875" customWidth="1"/>
    <col min="8" max="8" width="15.5546875" customWidth="1"/>
    <col min="9" max="9" width="15.44140625" customWidth="1"/>
    <col min="10" max="10" width="13.44140625" customWidth="1"/>
    <col min="11" max="12" width="12.6640625" customWidth="1"/>
    <col min="13" max="13" width="16.6640625" customWidth="1"/>
    <col min="14" max="14" width="18.109375" customWidth="1"/>
  </cols>
  <sheetData>
    <row r="1" spans="1:14" s="2" customFormat="1" ht="57.6">
      <c r="A1" s="1" t="s">
        <v>0</v>
      </c>
      <c r="B1" s="1" t="s">
        <v>1</v>
      </c>
      <c r="C1" s="1" t="s">
        <v>39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4</v>
      </c>
      <c r="J1" s="1" t="s">
        <v>5</v>
      </c>
      <c r="K1" s="1" t="s">
        <v>9</v>
      </c>
      <c r="L1" s="1" t="s">
        <v>10</v>
      </c>
      <c r="M1" s="1" t="s">
        <v>11</v>
      </c>
      <c r="N1" s="1" t="s">
        <v>42</v>
      </c>
    </row>
    <row r="2" spans="1:14" s="4" customFormat="1" ht="20.100000000000001" customHeight="1">
      <c r="A2" s="3">
        <v>2025</v>
      </c>
      <c r="B2" s="5">
        <v>8294343000</v>
      </c>
      <c r="C2" s="5">
        <v>3662148000</v>
      </c>
      <c r="D2" s="5">
        <v>2212841000</v>
      </c>
      <c r="E2" s="5">
        <v>2419354000</v>
      </c>
      <c r="F2" s="5">
        <v>114441000</v>
      </c>
      <c r="G2" s="5">
        <f>Table1[[#This Row],[Operating Income]]+Table1[[#This Row],[Depreciation &amp; Amortization]]</f>
        <v>2533795000</v>
      </c>
      <c r="H2" s="5"/>
      <c r="I2" s="5"/>
      <c r="J2" s="5"/>
      <c r="K2" s="7">
        <f>Table1[[#This Row],[COGS (Cost of Sales) = Gross Profit - Revenue]]/Table1[[#This Row],[Revenue (Net Sales)]]</f>
        <v>0.44152357817852483</v>
      </c>
      <c r="L2" s="7">
        <f>Table1[[#This Row],[Operating Expenses (SG&amp;A proxy)]]/Table1[[#This Row],[Revenue (Net Sales)]]</f>
        <v>0.2667891839052231</v>
      </c>
      <c r="M2" s="7">
        <f>Table1[[#This Row],[Operating Income]]/Table1[[#This Row],[Revenue (Net Sales)]]</f>
        <v>0.29168723791625206</v>
      </c>
      <c r="N2" s="7">
        <f>Table1[[#This Row],[EBITDA]]/Table1[[#This Row],[Revenue (Net Sales)]]</f>
        <v>0.30548471409971834</v>
      </c>
    </row>
    <row r="3" spans="1:14" s="4" customFormat="1" ht="20.100000000000001" customHeight="1">
      <c r="A3" s="3">
        <v>2024</v>
      </c>
      <c r="B3" s="5">
        <v>7492709000</v>
      </c>
      <c r="C3" s="5">
        <v>3443831000</v>
      </c>
      <c r="D3" s="5">
        <v>2118584000</v>
      </c>
      <c r="E3" s="5">
        <v>1930294000</v>
      </c>
      <c r="F3" s="5">
        <v>80434000</v>
      </c>
      <c r="G3" s="5">
        <f>Table1[[#This Row],[Operating Income]]+Table1[[#This Row],[Depreciation &amp; Amortization]]</f>
        <v>2010728000</v>
      </c>
      <c r="H3" s="5"/>
      <c r="I3" s="5"/>
      <c r="J3" s="5"/>
      <c r="K3" s="7">
        <f>Table1[[#This Row],[COGS (Cost of Sales) = Gross Profit - Revenue]]/Table1[[#This Row],[Revenue (Net Sales)]]</f>
        <v>0.45962428275274003</v>
      </c>
      <c r="L3" s="7">
        <f>Table1[[#This Row],[Operating Expenses (SG&amp;A proxy)]]/Table1[[#This Row],[Revenue (Net Sales)]]</f>
        <v>0.28275274003034151</v>
      </c>
      <c r="M3" s="7">
        <f>Table1[[#This Row],[Operating Income]]/Table1[[#This Row],[Revenue (Net Sales)]]</f>
        <v>0.25762297721691846</v>
      </c>
      <c r="N3" s="7">
        <f>Table1[[#This Row],[EBITDA]]/Table1[[#This Row],[Revenue (Net Sales)]]</f>
        <v>0.26835794637159938</v>
      </c>
    </row>
    <row r="4" spans="1:14" s="4" customFormat="1" ht="20.100000000000001" customHeight="1">
      <c r="A4" s="3">
        <v>2023</v>
      </c>
      <c r="B4" s="5">
        <v>7140027000</v>
      </c>
      <c r="C4" s="5">
        <v>3345821000</v>
      </c>
      <c r="D4" s="5">
        <v>1840851000</v>
      </c>
      <c r="E4" s="5">
        <v>1953355000</v>
      </c>
      <c r="F4" s="5">
        <v>68898000</v>
      </c>
      <c r="G4" s="5">
        <f>Table1[[#This Row],[Operating Income]]+Table1[[#This Row],[Depreciation &amp; Amortization]]</f>
        <v>2022253000</v>
      </c>
      <c r="H4" s="5"/>
      <c r="I4" s="5"/>
      <c r="J4" s="5"/>
      <c r="K4" s="7">
        <f>Table1[[#This Row],[COGS (Cost of Sales) = Gross Profit - Revenue]]/Table1[[#This Row],[Revenue (Net Sales)]]</f>
        <v>0.46860060893327155</v>
      </c>
      <c r="L4" s="7">
        <f>Table1[[#This Row],[Operating Expenses (SG&amp;A proxy)]]/Table1[[#This Row],[Revenue (Net Sales)]]</f>
        <v>0.25782129395309011</v>
      </c>
      <c r="M4" s="7">
        <f>Table1[[#This Row],[Operating Income]]/Table1[[#This Row],[Revenue (Net Sales)]]</f>
        <v>0.27357809711363834</v>
      </c>
      <c r="N4" s="7">
        <f>Table1[[#This Row],[EBITDA]]/Table1[[#This Row],[Revenue (Net Sales)]]</f>
        <v>0.28322764045570137</v>
      </c>
    </row>
    <row r="5" spans="1:14" s="4" customFormat="1" ht="20.100000000000001" customHeight="1">
      <c r="A5" s="3">
        <v>2022</v>
      </c>
      <c r="B5" s="5">
        <v>6311050000</v>
      </c>
      <c r="C5" s="5">
        <v>3136483000</v>
      </c>
      <c r="D5" s="5">
        <v>1589846000</v>
      </c>
      <c r="E5" s="5">
        <v>1584721000</v>
      </c>
      <c r="F5" s="5">
        <v>61241000</v>
      </c>
      <c r="G5" s="5">
        <f>Table1[[#This Row],[Operating Income]]+Table1[[#This Row],[Depreciation &amp; Amortization]]</f>
        <v>1645962000</v>
      </c>
      <c r="H5" s="5"/>
      <c r="I5" s="5"/>
      <c r="J5" s="5"/>
      <c r="K5" s="7">
        <f>Table1[[#This Row],[COGS (Cost of Sales) = Gross Profit - Revenue]]/Table1[[#This Row],[Revenue (Net Sales)]]</f>
        <v>0.49698275247383555</v>
      </c>
      <c r="L5" s="7">
        <f>Table1[[#This Row],[Operating Expenses (SG&amp;A proxy)]]/Table1[[#This Row],[Revenue (Net Sales)]]</f>
        <v>0.25191465762432558</v>
      </c>
      <c r="M5" s="7">
        <f>Table1[[#This Row],[Operating Income]]/Table1[[#This Row],[Revenue (Net Sales)]]</f>
        <v>0.25110258990183881</v>
      </c>
      <c r="N5" s="7">
        <f>Table1[[#This Row],[EBITDA]]/Table1[[#This Row],[Revenue (Net Sales)]]</f>
        <v>0.2608063634418995</v>
      </c>
    </row>
    <row r="6" spans="1:14" s="4" customFormat="1" ht="20.100000000000001" customHeight="1">
      <c r="A6" s="3">
        <v>2021</v>
      </c>
      <c r="B6" s="5">
        <v>5541352000</v>
      </c>
      <c r="C6" s="5">
        <v>2432839000</v>
      </c>
      <c r="D6" s="5">
        <v>1311046000</v>
      </c>
      <c r="E6" s="5">
        <v>1797467000</v>
      </c>
      <c r="F6" s="5">
        <v>50155000</v>
      </c>
      <c r="G6" s="5">
        <f>Table1[[#This Row],[Operating Income]]+Table1[[#This Row],[Depreciation &amp; Amortization]]</f>
        <v>1847622000</v>
      </c>
      <c r="H6" s="5"/>
      <c r="I6" s="5"/>
      <c r="J6" s="5"/>
      <c r="K6" s="7">
        <f>Table1[[#This Row],[COGS (Cost of Sales) = Gross Profit - Revenue]]/Table1[[#This Row],[Revenue (Net Sales)]]</f>
        <v>0.43903347053210118</v>
      </c>
      <c r="L6" s="7">
        <f>Table1[[#This Row],[Operating Expenses (SG&amp;A proxy)]]/Table1[[#This Row],[Revenue (Net Sales)]]</f>
        <v>0.23659316354564736</v>
      </c>
      <c r="M6" s="7">
        <f>Table1[[#This Row],[Operating Income]]/Table1[[#This Row],[Revenue (Net Sales)]]</f>
        <v>0.32437336592225147</v>
      </c>
      <c r="N6" s="7">
        <f>Table1[[#This Row],[EBITDA]]/Table1[[#This Row],[Revenue (Net Sales)]]</f>
        <v>0.3334244061738002</v>
      </c>
    </row>
    <row r="7" spans="1:14" s="4" customFormat="1" ht="20.100000000000001" customHeight="1">
      <c r="A7" s="3">
        <v>2020</v>
      </c>
      <c r="B7" s="5">
        <v>4598638000</v>
      </c>
      <c r="C7" s="5">
        <v>1874758000</v>
      </c>
      <c r="D7" s="5">
        <v>1090727000</v>
      </c>
      <c r="E7" s="5">
        <v>1633153000</v>
      </c>
      <c r="F7" s="8">
        <v>57030000</v>
      </c>
      <c r="G7" s="5">
        <f>Table1[[#This Row],[Operating Income]]+Table1[[#This Row],[Depreciation &amp; Amortization]]</f>
        <v>1690183000</v>
      </c>
      <c r="H7" s="5"/>
      <c r="I7" s="5"/>
      <c r="J7" s="5"/>
      <c r="K7" s="7">
        <f>Table1[[#This Row],[COGS (Cost of Sales) = Gross Profit - Revenue]]/Table1[[#This Row],[Revenue (Net Sales)]]</f>
        <v>0.40767679473792023</v>
      </c>
      <c r="L7" s="7">
        <f>Table1[[#This Row],[Operating Expenses (SG&amp;A proxy)]]/Table1[[#This Row],[Revenue (Net Sales)]]</f>
        <v>0.23718479254074792</v>
      </c>
      <c r="M7" s="7">
        <f>Table1[[#This Row],[Operating Income]]/Table1[[#This Row],[Revenue (Net Sales)]]</f>
        <v>0.35513841272133184</v>
      </c>
      <c r="N7" s="7">
        <f>Table1[[#This Row],[EBITDA]]/Table1[[#This Row],[Revenue (Net Sales)]]</f>
        <v>0.36753991073009007</v>
      </c>
    </row>
    <row r="8" spans="1:14" s="4" customFormat="1" ht="20.100000000000001" customHeight="1">
      <c r="A8" s="3">
        <v>2019</v>
      </c>
      <c r="B8" s="5">
        <v>4200819000</v>
      </c>
      <c r="C8" s="5">
        <v>1682234000</v>
      </c>
      <c r="D8" s="5">
        <v>1115646000</v>
      </c>
      <c r="E8" s="5">
        <v>1402939000</v>
      </c>
      <c r="F8" s="5">
        <v>60727000</v>
      </c>
      <c r="G8" s="5">
        <f>Table1[[#This Row],[Operating Income]]+Table1[[#This Row],[Depreciation &amp; Amortization]]</f>
        <v>1463666000</v>
      </c>
      <c r="H8" s="5"/>
      <c r="I8" s="5"/>
      <c r="J8" s="5"/>
      <c r="K8" s="7">
        <f>Table1[[#This Row],[COGS (Cost of Sales) = Gross Profit - Revenue]]/Table1[[#This Row],[Revenue (Net Sales)]]</f>
        <v>0.40045381626773258</v>
      </c>
      <c r="L8" s="7">
        <f>Table1[[#This Row],[Operating Expenses (SG&amp;A proxy)]]/Table1[[#This Row],[Revenue (Net Sales)]]</f>
        <v>0.2655782122486115</v>
      </c>
      <c r="M8" s="7">
        <f>Table1[[#This Row],[Operating Income]]/Table1[[#This Row],[Revenue (Net Sales)]]</f>
        <v>0.33396797148365592</v>
      </c>
      <c r="N8" s="7">
        <f>Table1[[#This Row],[EBITDA]]/Table1[[#This Row],[Revenue (Net Sales)]]</f>
        <v>0.34842396208929732</v>
      </c>
    </row>
    <row r="9" spans="1:14" s="4" customFormat="1" ht="20.100000000000001" customHeight="1">
      <c r="A9" s="3">
        <v>2018</v>
      </c>
      <c r="B9" s="5">
        <v>3807183000</v>
      </c>
      <c r="C9" s="5">
        <v>1511808000</v>
      </c>
      <c r="D9" s="5">
        <v>1011756000</v>
      </c>
      <c r="E9" s="5">
        <v>1283619000</v>
      </c>
      <c r="F9" s="5">
        <v>56979000</v>
      </c>
      <c r="G9" s="5">
        <f>Table1[[#This Row],[Operating Income]]+Table1[[#This Row],[Depreciation &amp; Amortization]]</f>
        <v>1340598000</v>
      </c>
      <c r="H9" s="5"/>
      <c r="I9" s="5"/>
      <c r="J9" s="5"/>
      <c r="K9" s="7">
        <f>Table1[[#This Row],[COGS (Cost of Sales) = Gross Profit - Revenue]]/Table1[[#This Row],[Revenue (Net Sales)]]</f>
        <v>0.39709359912565273</v>
      </c>
      <c r="L9" s="7">
        <f>Table1[[#This Row],[Operating Expenses (SG&amp;A proxy)]]/Table1[[#This Row],[Revenue (Net Sales)]]</f>
        <v>0.26574924294419261</v>
      </c>
      <c r="M9" s="7">
        <f>Table1[[#This Row],[Operating Income]]/Table1[[#This Row],[Revenue (Net Sales)]]</f>
        <v>0.33715715793015466</v>
      </c>
      <c r="N9" s="7">
        <f>Table1[[#This Row],[EBITDA]]/Table1[[#This Row],[Revenue (Net Sales)]]</f>
        <v>0.352123341588781</v>
      </c>
    </row>
    <row r="10" spans="1:14" s="4" customFormat="1" ht="20.100000000000001" customHeight="1">
      <c r="A10" s="3">
        <v>2017</v>
      </c>
      <c r="B10" s="5">
        <v>3369045000</v>
      </c>
      <c r="C10" s="5">
        <v>1231355000</v>
      </c>
      <c r="D10" s="5">
        <v>938903000</v>
      </c>
      <c r="E10" s="5">
        <v>1198787000</v>
      </c>
      <c r="F10" s="5">
        <v>48887000</v>
      </c>
      <c r="G10" s="5">
        <f>Table1[[#This Row],[Operating Income]]+Table1[[#This Row],[Depreciation &amp; Amortization]]</f>
        <v>1247674000</v>
      </c>
      <c r="H10" s="5"/>
      <c r="I10" s="5"/>
      <c r="J10" s="5"/>
      <c r="K10" s="7">
        <f>Table1[[#This Row],[COGS (Cost of Sales) = Gross Profit - Revenue]]/Table1[[#This Row],[Revenue (Net Sales)]]</f>
        <v>0.36549081416247037</v>
      </c>
      <c r="L10" s="7">
        <f>Table1[[#This Row],[Operating Expenses (SG&amp;A proxy)]]/Table1[[#This Row],[Revenue (Net Sales)]]</f>
        <v>0.27868520604503649</v>
      </c>
      <c r="M10" s="7">
        <f>Table1[[#This Row],[Operating Income]]/Table1[[#This Row],[Revenue (Net Sales)]]</f>
        <v>0.35582397979249314</v>
      </c>
      <c r="N10" s="7">
        <f>Table1[[#This Row],[EBITDA]]/Table1[[#This Row],[Revenue (Net Sales)]]</f>
        <v>0.37033462004811452</v>
      </c>
    </row>
    <row r="11" spans="1:14" s="4" customFormat="1" ht="20.100000000000001" customHeight="1">
      <c r="A11" s="3">
        <v>2016</v>
      </c>
      <c r="B11" s="5">
        <v>3049393000</v>
      </c>
      <c r="C11" s="5">
        <v>1107393000</v>
      </c>
      <c r="D11" s="5">
        <v>856662000</v>
      </c>
      <c r="E11" s="5">
        <v>1085338000</v>
      </c>
      <c r="F11" s="5">
        <v>40845000</v>
      </c>
      <c r="G11" s="5">
        <f>Table1[[#This Row],[Operating Income]]+Table1[[#This Row],[Depreciation &amp; Amortization]]</f>
        <v>1126183000</v>
      </c>
      <c r="H11" s="5"/>
      <c r="I11" s="5"/>
      <c r="J11" s="5"/>
      <c r="K11" s="7">
        <f>Table1[[#This Row],[COGS (Cost of Sales) = Gross Profit - Revenue]]/Table1[[#This Row],[Revenue (Net Sales)]]</f>
        <v>0.36315194532157713</v>
      </c>
      <c r="L11" s="7">
        <f>Table1[[#This Row],[Operating Expenses (SG&amp;A proxy)]]/Table1[[#This Row],[Revenue (Net Sales)]]</f>
        <v>0.28092869630119832</v>
      </c>
      <c r="M11" s="7">
        <f>Table1[[#This Row],[Operating Income]]/Table1[[#This Row],[Revenue (Net Sales)]]</f>
        <v>0.3559193583772246</v>
      </c>
      <c r="N11" s="7">
        <f>Table1[[#This Row],[EBITDA]]/Table1[[#This Row],[Revenue (Net Sales)]]</f>
        <v>0.3693138273748251</v>
      </c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4">
      <c r="A13" s="1"/>
      <c r="B13" s="1" t="s">
        <v>12</v>
      </c>
      <c r="C13" s="1" t="s">
        <v>13</v>
      </c>
      <c r="D13" s="1" t="s">
        <v>20</v>
      </c>
      <c r="E13" s="1" t="s">
        <v>31</v>
      </c>
      <c r="F13" s="1"/>
      <c r="G13" s="1"/>
      <c r="H13" s="6" t="s">
        <v>21</v>
      </c>
      <c r="I13" s="6" t="s">
        <v>21</v>
      </c>
      <c r="J13" s="1" t="s">
        <v>29</v>
      </c>
      <c r="K13" s="1"/>
      <c r="L13" s="1"/>
      <c r="M13" s="1" t="s">
        <v>37</v>
      </c>
    </row>
    <row r="14" spans="1:14" ht="28.8">
      <c r="A14" s="1"/>
      <c r="B14" s="1"/>
      <c r="C14" s="1" t="s">
        <v>14</v>
      </c>
      <c r="D14" s="1" t="s">
        <v>17</v>
      </c>
      <c r="E14" s="1" t="s">
        <v>32</v>
      </c>
      <c r="F14" s="1"/>
      <c r="G14" s="1" t="s">
        <v>34</v>
      </c>
      <c r="H14" s="1" t="s">
        <v>22</v>
      </c>
      <c r="I14" s="1" t="s">
        <v>25</v>
      </c>
      <c r="J14" s="1" t="s">
        <v>30</v>
      </c>
      <c r="K14" s="1"/>
      <c r="L14" s="1"/>
      <c r="M14" s="1"/>
    </row>
    <row r="15" spans="1:14">
      <c r="A15" s="1"/>
      <c r="B15" s="1"/>
      <c r="C15" s="1" t="s">
        <v>15</v>
      </c>
      <c r="D15" s="1" t="s">
        <v>18</v>
      </c>
      <c r="E15" s="1" t="s">
        <v>33</v>
      </c>
      <c r="F15" s="1"/>
      <c r="G15" s="1" t="s">
        <v>35</v>
      </c>
      <c r="H15" s="1" t="s">
        <v>23</v>
      </c>
      <c r="I15" s="1" t="s">
        <v>26</v>
      </c>
      <c r="J15" s="1"/>
      <c r="K15" s="1"/>
      <c r="L15" s="1"/>
      <c r="M15" s="1"/>
    </row>
    <row r="16" spans="1:14" ht="28.8">
      <c r="A16" s="1"/>
      <c r="B16" s="1"/>
      <c r="C16" s="1" t="s">
        <v>16</v>
      </c>
      <c r="D16" s="1" t="s">
        <v>19</v>
      </c>
      <c r="E16" s="1" t="s">
        <v>43</v>
      </c>
      <c r="F16" s="1"/>
      <c r="G16" s="1" t="s">
        <v>36</v>
      </c>
      <c r="H16" s="1" t="s">
        <v>24</v>
      </c>
      <c r="I16" s="1" t="s">
        <v>27</v>
      </c>
      <c r="J16" s="1"/>
      <c r="K16" s="1"/>
      <c r="L16" s="1"/>
      <c r="M16" s="1"/>
    </row>
    <row r="17" spans="1:14" ht="26.4">
      <c r="A17" s="1"/>
      <c r="B17" s="1"/>
      <c r="C17" s="1"/>
      <c r="D17" s="9" t="s">
        <v>38</v>
      </c>
      <c r="E17" s="9" t="s">
        <v>44</v>
      </c>
      <c r="F17" s="9"/>
      <c r="G17" s="9"/>
      <c r="H17" s="1"/>
      <c r="I17" s="1" t="s">
        <v>28</v>
      </c>
      <c r="J17" s="1"/>
      <c r="K17" s="1"/>
      <c r="L17" s="1"/>
      <c r="M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4" ht="57.6">
      <c r="A22" s="1" t="s">
        <v>0</v>
      </c>
      <c r="B22" s="1" t="s">
        <v>1</v>
      </c>
      <c r="C22" s="1" t="s">
        <v>39</v>
      </c>
      <c r="D22" s="1" t="s">
        <v>2</v>
      </c>
      <c r="E22" s="1" t="s">
        <v>6</v>
      </c>
      <c r="F22" s="1" t="s">
        <v>7</v>
      </c>
      <c r="G22" s="1" t="s">
        <v>8</v>
      </c>
      <c r="H22" s="1" t="s">
        <v>3</v>
      </c>
      <c r="I22" s="1" t="s">
        <v>4</v>
      </c>
      <c r="J22" s="1" t="s">
        <v>5</v>
      </c>
      <c r="K22" s="1" t="s">
        <v>9</v>
      </c>
      <c r="L22" s="1" t="s">
        <v>10</v>
      </c>
      <c r="M22" s="1" t="s">
        <v>11</v>
      </c>
      <c r="N22" s="1" t="s">
        <v>42</v>
      </c>
    </row>
    <row r="23" spans="1:14">
      <c r="A23" s="3">
        <v>2025</v>
      </c>
      <c r="B23" s="5">
        <v>2515269000</v>
      </c>
      <c r="C23" s="5">
        <v>1247936000</v>
      </c>
      <c r="D23" s="5">
        <v>798810000</v>
      </c>
      <c r="E23" s="5">
        <v>141062000</v>
      </c>
      <c r="F23" s="5">
        <v>29451</v>
      </c>
      <c r="G23" s="5">
        <f>Table14[[#This Row],[Operating Income]]+Table14[[#This Row],[Depreciation &amp; Amortization]]</f>
        <v>141091451</v>
      </c>
      <c r="H23" s="5"/>
      <c r="I23" s="5"/>
      <c r="J23" s="5"/>
      <c r="K23" s="7">
        <f>Table14[[#This Row],[COGS (Cost of Sales) = Gross Profit - Revenue]]/Table14[[#This Row],[Revenue (Net Sales)]]</f>
        <v>0.496144149989524</v>
      </c>
      <c r="L23" s="7">
        <f>Table14[[#This Row],[Operating Expenses (SG&amp;A proxy)]]/Table14[[#This Row],[Revenue (Net Sales)]]</f>
        <v>0.31758432199498343</v>
      </c>
      <c r="M23" s="7">
        <f>Table14[[#This Row],[Operating Income]]/Table14[[#This Row],[Revenue (Net Sales)]]</f>
        <v>5.6082271916045562E-2</v>
      </c>
      <c r="N23" s="7">
        <f>Table14[[#This Row],[EBITDA]]/Table14[[#This Row],[Revenue (Net Sales)]]</f>
        <v>5.6093980802848525E-2</v>
      </c>
    </row>
    <row r="24" spans="1:14">
      <c r="A24" s="3">
        <v>2024</v>
      </c>
      <c r="B24" s="5">
        <v>1355630000</v>
      </c>
      <c r="C24" s="5">
        <v>675423000</v>
      </c>
      <c r="D24" s="5">
        <v>524479000</v>
      </c>
      <c r="E24" s="5">
        <v>155728000</v>
      </c>
      <c r="F24" s="5">
        <v>7274000</v>
      </c>
      <c r="G24" s="5">
        <f>Table14[[#This Row],[Operating Income]]+Table14[[#This Row],[Depreciation &amp; Amortization]]</f>
        <v>163002000</v>
      </c>
      <c r="H24" s="5"/>
      <c r="I24" s="5"/>
      <c r="J24" s="5"/>
      <c r="K24" s="7">
        <f>Table14[[#This Row],[COGS (Cost of Sales) = Gross Profit - Revenue]]/Table14[[#This Row],[Revenue (Net Sales)]]</f>
        <v>0.49823550673856437</v>
      </c>
      <c r="L24" s="7">
        <f>Table14[[#This Row],[Operating Expenses (SG&amp;A proxy)]]/Table14[[#This Row],[Revenue (Net Sales)]]</f>
        <v>0.38688949049519411</v>
      </c>
      <c r="M24" s="7">
        <f>Table14[[#This Row],[Operating Income]]/Table14[[#This Row],[Revenue (Net Sales)]]</f>
        <v>0.11487500276624153</v>
      </c>
      <c r="N24" s="7">
        <f>Table14[[#This Row],[EBITDA]]/Table14[[#This Row],[Revenue (Net Sales)]]</f>
        <v>0.12024077366243001</v>
      </c>
    </row>
    <row r="25" spans="1:14">
      <c r="A25" s="3">
        <v>2023</v>
      </c>
      <c r="B25" s="5">
        <v>1318014000</v>
      </c>
      <c r="C25" s="5">
        <v>684875000</v>
      </c>
      <c r="D25" s="5">
        <v>366773000</v>
      </c>
      <c r="E25" s="5">
        <v>266366000</v>
      </c>
      <c r="F25" s="5">
        <v>3226000</v>
      </c>
      <c r="G25" s="5">
        <f>Table14[[#This Row],[Operating Income]]+Table14[[#This Row],[Depreciation &amp; Amortization]]</f>
        <v>269592000</v>
      </c>
      <c r="H25" s="5"/>
      <c r="I25" s="5"/>
      <c r="J25" s="5"/>
      <c r="K25" s="7">
        <f>Table14[[#This Row],[COGS (Cost of Sales) = Gross Profit - Revenue]]/Table14[[#This Row],[Revenue (Net Sales)]]</f>
        <v>0.51962649865631172</v>
      </c>
      <c r="L25" s="7">
        <f>Table14[[#This Row],[Operating Expenses (SG&amp;A proxy)]]/Table14[[#This Row],[Revenue (Net Sales)]]</f>
        <v>0.27827701374947461</v>
      </c>
      <c r="M25" s="7">
        <f>Table14[[#This Row],[Operating Income]]/Table14[[#This Row],[Revenue (Net Sales)]]</f>
        <v>0.20209648759421373</v>
      </c>
      <c r="N25" s="7">
        <f>Table14[[#This Row],[EBITDA]]/Table14[[#This Row],[Revenue (Net Sales)]]</f>
        <v>0.20454410954663607</v>
      </c>
    </row>
    <row r="26" spans="1:14">
      <c r="A26" s="3">
        <v>2022</v>
      </c>
      <c r="B26" s="5">
        <v>653604000</v>
      </c>
      <c r="C26" s="5">
        <v>382735000</v>
      </c>
      <c r="D26" s="5">
        <f>Table14[[#This Row],[Selling &amp; Marketing (if reported separately)]]+Table14[[#This Row],[General &amp; Administrative (if reported separately)]]</f>
        <v>428670000</v>
      </c>
      <c r="E26" s="5">
        <v>-157801000</v>
      </c>
      <c r="F26" s="5">
        <v>1362000</v>
      </c>
      <c r="G26" s="5">
        <f>Table14[[#This Row],[Operating Income]]+Table14[[#This Row],[Depreciation &amp; Amortization]]</f>
        <v>-156439000</v>
      </c>
      <c r="H26" s="5">
        <v>352767000</v>
      </c>
      <c r="I26" s="5">
        <v>75903000</v>
      </c>
      <c r="J26" s="5"/>
      <c r="K26" s="7">
        <f>Table14[[#This Row],[COGS (Cost of Sales) = Gross Profit - Revenue]]/Table14[[#This Row],[Revenue (Net Sales)]]</f>
        <v>0.58557628166290288</v>
      </c>
      <c r="L26" s="7">
        <f>Table14[[#This Row],[Operating Expenses (SG&amp;A proxy)]]/Table14[[#This Row],[Revenue (Net Sales)]]</f>
        <v>0.65585583931554892</v>
      </c>
      <c r="M26" s="7">
        <f>Table14[[#This Row],[Operating Income]]/Table14[[#This Row],[Revenue (Net Sales)]]</f>
        <v>-0.24143212097845179</v>
      </c>
      <c r="N26" s="7">
        <f>Table14[[#This Row],[EBITDA]]/Table14[[#This Row],[Revenue (Net Sales)]]</f>
        <v>-0.23934829040213954</v>
      </c>
    </row>
    <row r="27" spans="1:14">
      <c r="A27" s="3">
        <v>2021</v>
      </c>
      <c r="B27" s="5">
        <v>314272000</v>
      </c>
      <c r="C27" s="5">
        <v>186103000</v>
      </c>
      <c r="D27" s="5">
        <f>Table14[[#This Row],[Selling &amp; Marketing (if reported separately)]]+Table14[[#This Row],[General &amp; Administrative (if reported separately)]]</f>
        <v>132259000</v>
      </c>
      <c r="E27" s="5">
        <v>-4090000</v>
      </c>
      <c r="F27" s="5">
        <v>550000</v>
      </c>
      <c r="G27" s="5">
        <f>Table14[[#This Row],[Operating Income]]+Table14[[#This Row],[Depreciation &amp; Amortization]]</f>
        <v>-3540000</v>
      </c>
      <c r="H27" s="5">
        <v>74739000</v>
      </c>
      <c r="I27" s="5">
        <v>57520000</v>
      </c>
      <c r="J27" s="5"/>
      <c r="K27" s="7">
        <f>Table14[[#This Row],[COGS (Cost of Sales) = Gross Profit - Revenue]]/Table14[[#This Row],[Revenue (Net Sales)]]</f>
        <v>0.59217174931269723</v>
      </c>
      <c r="L27" s="7">
        <f>Table14[[#This Row],[Operating Expenses (SG&amp;A proxy)]]/Table14[[#This Row],[Revenue (Net Sales)]]</f>
        <v>0.42084245494348843</v>
      </c>
      <c r="M27" s="7">
        <f>Table14[[#This Row],[Operating Income]]/Table14[[#This Row],[Revenue (Net Sales)]]</f>
        <v>-1.3014204256185725E-2</v>
      </c>
      <c r="N27" s="7">
        <f>Table14[[#This Row],[EBITDA]]/Table14[[#This Row],[Revenue (Net Sales)]]</f>
        <v>-1.1264127889216984E-2</v>
      </c>
    </row>
    <row r="28" spans="1:14">
      <c r="A28" s="3">
        <v>2020</v>
      </c>
      <c r="B28" s="5">
        <v>130726000</v>
      </c>
      <c r="C28" s="5">
        <v>69752000</v>
      </c>
      <c r="D28" s="5">
        <f>Table14[[#This Row],[Selling &amp; Marketing (if reported separately)]]+Table14[[#This Row],[General &amp; Administrative (if reported separately)]]</f>
        <v>53062000</v>
      </c>
      <c r="E28" s="5">
        <v>7912000</v>
      </c>
      <c r="F28" s="8">
        <v>127000</v>
      </c>
      <c r="G28" s="5">
        <f>Table14[[#This Row],[Operating Income]]+Table14[[#This Row],[Depreciation &amp; Amortization]]</f>
        <v>8039000</v>
      </c>
      <c r="H28" s="5">
        <v>34875000</v>
      </c>
      <c r="I28" s="5">
        <v>18187000</v>
      </c>
      <c r="J28" s="5"/>
      <c r="K28" s="7">
        <f>Table14[[#This Row],[COGS (Cost of Sales) = Gross Profit - Revenue]]/Table14[[#This Row],[Revenue (Net Sales)]]</f>
        <v>0.53357404035922462</v>
      </c>
      <c r="L28" s="7">
        <f>Table14[[#This Row],[Operating Expenses (SG&amp;A proxy)]]/Table14[[#This Row],[Revenue (Net Sales)]]</f>
        <v>0.40590242185946179</v>
      </c>
      <c r="M28" s="7">
        <f>Table14[[#This Row],[Operating Income]]/Table14[[#This Row],[Revenue (Net Sales)]]</f>
        <v>6.0523537781313586E-2</v>
      </c>
      <c r="N28" s="7">
        <f>Table14[[#This Row],[EBITDA]]/Table14[[#This Row],[Revenue (Net Sales)]]</f>
        <v>6.1495035417590993E-2</v>
      </c>
    </row>
    <row r="29" spans="1:14">
      <c r="A29" s="3">
        <v>2019</v>
      </c>
      <c r="B29" s="5">
        <v>75146546</v>
      </c>
      <c r="C29" s="5">
        <v>43844733</v>
      </c>
      <c r="D29" s="5">
        <f>Table14[[#This Row],[Selling &amp; Marketing (if reported separately)]]+Table14[[#This Row],[General &amp; Administrative (if reported separately)]]</f>
        <v>32750256</v>
      </c>
      <c r="E29" s="5">
        <v>-1448443</v>
      </c>
      <c r="F29" s="10">
        <v>893413</v>
      </c>
      <c r="G29" s="5">
        <f>Table14[[#This Row],[Operating Income]]+Table14[[#This Row],[Depreciation &amp; Amortization]]</f>
        <v>-555030</v>
      </c>
      <c r="H29" s="5">
        <v>21129722</v>
      </c>
      <c r="I29" s="5">
        <v>11620534</v>
      </c>
      <c r="J29" s="5"/>
      <c r="K29" s="7">
        <f>Table14[[#This Row],[COGS (Cost of Sales) = Gross Profit - Revenue]]/Table14[[#This Row],[Revenue (Net Sales)]]</f>
        <v>0.58345639731731647</v>
      </c>
      <c r="L29" s="7">
        <f>Table14[[#This Row],[Operating Expenses (SG&amp;A proxy)]]/Table14[[#This Row],[Revenue (Net Sales)]]</f>
        <v>0.43581851386755688</v>
      </c>
      <c r="M29" s="7">
        <f>Table14[[#This Row],[Operating Income]]/Table14[[#This Row],[Revenue (Net Sales)]]</f>
        <v>-1.9274911184873355E-2</v>
      </c>
      <c r="N29" s="7">
        <f>Table14[[#This Row],[EBITDA]]/Table14[[#This Row],[Revenue (Net Sales)]]</f>
        <v>-7.3859682120319941E-3</v>
      </c>
    </row>
    <row r="30" spans="1:14">
      <c r="A30" s="3">
        <v>2018</v>
      </c>
      <c r="B30" s="5">
        <v>52603986</v>
      </c>
      <c r="C30" s="5">
        <v>31543608</v>
      </c>
      <c r="D30" s="5">
        <f>Table14[[#This Row],[Selling &amp; Marketing (if reported separately)]]+Table14[[#This Row],[General &amp; Administrative (if reported separately)]]</f>
        <v>31701122</v>
      </c>
      <c r="E30" s="5">
        <v>-10640744</v>
      </c>
      <c r="F30" s="5">
        <v>72162</v>
      </c>
      <c r="G30" s="5">
        <f>Table14[[#This Row],[Operating Income]]+Table14[[#This Row],[Depreciation &amp; Amortization]]</f>
        <v>-10568582</v>
      </c>
      <c r="H30" s="5">
        <v>21213530</v>
      </c>
      <c r="I30" s="5">
        <v>10487592</v>
      </c>
      <c r="J30" s="5"/>
      <c r="K30" s="7">
        <f>Table14[[#This Row],[COGS (Cost of Sales) = Gross Profit - Revenue]]/Table14[[#This Row],[Revenue (Net Sales)]]</f>
        <v>0.59964292439740208</v>
      </c>
      <c r="L30" s="7">
        <f>Table14[[#This Row],[Operating Expenses (SG&amp;A proxy)]]/Table14[[#This Row],[Revenue (Net Sales)]]</f>
        <v>0.60263726022586961</v>
      </c>
      <c r="M30" s="7">
        <f>Table14[[#This Row],[Operating Income]]/Table14[[#This Row],[Revenue (Net Sales)]]</f>
        <v>-0.20228018462327171</v>
      </c>
      <c r="N30" s="7">
        <f>Table14[[#This Row],[EBITDA]]/Table14[[#This Row],[Revenue (Net Sales)]]</f>
        <v>-0.20090838743664785</v>
      </c>
    </row>
    <row r="31" spans="1:14">
      <c r="A31" s="3">
        <v>2017</v>
      </c>
      <c r="B31" s="5">
        <v>36164064</v>
      </c>
      <c r="C31" s="5">
        <v>20733387</v>
      </c>
      <c r="D31" s="5">
        <f>Table14[[#This Row],[Selling &amp; Marketing (if reported separately)]]+Table14[[#This Row],[General &amp; Administrative (if reported separately)]]</f>
        <v>23510644</v>
      </c>
      <c r="E31" s="5">
        <v>-8079967</v>
      </c>
      <c r="F31" s="5">
        <v>20425</v>
      </c>
      <c r="G31" s="5">
        <f>Table14[[#This Row],[Operating Income]]+Table14[[#This Row],[Depreciation &amp; Amortization]]</f>
        <v>-8059542</v>
      </c>
      <c r="H31" s="5">
        <v>16611369</v>
      </c>
      <c r="I31" s="5">
        <v>6899275</v>
      </c>
      <c r="J31" s="5"/>
      <c r="K31" s="7">
        <f>Table14[[#This Row],[COGS (Cost of Sales) = Gross Profit - Revenue]]/Table14[[#This Row],[Revenue (Net Sales)]]</f>
        <v>0.57331463078928302</v>
      </c>
      <c r="L31" s="7">
        <f>Table14[[#This Row],[Operating Expenses (SG&amp;A proxy)]]/Table14[[#This Row],[Revenue (Net Sales)]]</f>
        <v>0.65011067340219286</v>
      </c>
      <c r="M31" s="7">
        <f>Table14[[#This Row],[Operating Income]]/Table14[[#This Row],[Revenue (Net Sales)]]</f>
        <v>-0.22342530419147583</v>
      </c>
      <c r="N31" s="7">
        <f>Table14[[#This Row],[EBITDA]]/Table14[[#This Row],[Revenue (Net Sales)]]</f>
        <v>-0.22286051700384116</v>
      </c>
    </row>
    <row r="32" spans="1:14">
      <c r="A32" s="3">
        <v>2016</v>
      </c>
      <c r="B32" s="5">
        <v>22760983</v>
      </c>
      <c r="C32" s="5">
        <v>13031153</v>
      </c>
      <c r="D32" s="5">
        <f>Table14[[#This Row],[Selling &amp; Marketing (if reported separately)]]+Table14[[#This Row],[General &amp; Administrative (if reported separately)]]</f>
        <v>12574794</v>
      </c>
      <c r="E32" s="5">
        <v>-2844960</v>
      </c>
      <c r="F32" s="5">
        <v>16951</v>
      </c>
      <c r="G32" s="5">
        <f>Table14[[#This Row],[Operating Income]]+Table14[[#This Row],[Depreciation &amp; Amortization]]</f>
        <v>-2828009</v>
      </c>
      <c r="H32" s="10">
        <v>8675763</v>
      </c>
      <c r="I32" s="10">
        <v>3899031</v>
      </c>
      <c r="J32" s="5"/>
      <c r="K32" s="7">
        <f>Table14[[#This Row],[COGS (Cost of Sales) = Gross Profit - Revenue]]/Table14[[#This Row],[Revenue (Net Sales)]]</f>
        <v>0.57252153828329821</v>
      </c>
      <c r="L32" s="7">
        <f>Table14[[#This Row],[Operating Expenses (SG&amp;A proxy)]]/Table14[[#This Row],[Revenue (Net Sales)]]</f>
        <v>0.55247148157001835</v>
      </c>
      <c r="M32" s="7">
        <f>Table14[[#This Row],[Operating Income]]/Table14[[#This Row],[Revenue (Net Sales)]]</f>
        <v>-0.12499284411398225</v>
      </c>
      <c r="N32" s="7">
        <f>Table14[[#This Row],[EBITDA]]/Table14[[#This Row],[Revenue (Net Sales)]]</f>
        <v>-0.12424810475013316</v>
      </c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4" ht="57.6">
      <c r="A39" s="1" t="s">
        <v>0</v>
      </c>
      <c r="B39" s="1" t="s">
        <v>1</v>
      </c>
      <c r="C39" s="1" t="s">
        <v>39</v>
      </c>
      <c r="D39" s="1" t="s">
        <v>2</v>
      </c>
      <c r="E39" s="1" t="s">
        <v>6</v>
      </c>
      <c r="F39" s="1" t="s">
        <v>7</v>
      </c>
      <c r="G39" s="1" t="s">
        <v>8</v>
      </c>
      <c r="H39" s="1" t="s">
        <v>3</v>
      </c>
      <c r="I39" s="1" t="s">
        <v>4</v>
      </c>
      <c r="J39" s="1" t="s">
        <v>5</v>
      </c>
      <c r="K39" s="1" t="s">
        <v>9</v>
      </c>
      <c r="L39" s="1" t="s">
        <v>10</v>
      </c>
      <c r="M39" s="1" t="s">
        <v>11</v>
      </c>
      <c r="N39" s="1" t="s">
        <v>42</v>
      </c>
    </row>
    <row r="40" spans="1:14">
      <c r="A40" s="3">
        <v>2025</v>
      </c>
      <c r="B40" s="5">
        <v>2515269000</v>
      </c>
      <c r="C40" s="5">
        <v>1247936000</v>
      </c>
      <c r="D40" s="5">
        <v>798810000</v>
      </c>
      <c r="E40" s="5">
        <v>141062000</v>
      </c>
      <c r="F40" s="5">
        <v>29451</v>
      </c>
      <c r="G40" s="5">
        <f>Table145[[#This Row],[Operating Income]]+Table145[[#This Row],[Depreciation &amp; Amortization]]</f>
        <v>141091451</v>
      </c>
      <c r="H40" s="5"/>
      <c r="I40" s="5"/>
      <c r="J40" s="5"/>
      <c r="K40" s="7">
        <f>Table145[[#This Row],[COGS (Cost of Sales) = Gross Profit - Revenue]]/Table145[[#This Row],[Revenue (Net Sales)]]</f>
        <v>0.496144149989524</v>
      </c>
      <c r="L40" s="7">
        <f>Table145[[#This Row],[Operating Expenses (SG&amp;A proxy)]]/Table145[[#This Row],[Revenue (Net Sales)]]</f>
        <v>0.31758432199498343</v>
      </c>
      <c r="M40" s="7">
        <f>Table145[[#This Row],[Operating Income]]/Table145[[#This Row],[Revenue (Net Sales)]]</f>
        <v>5.6082271916045562E-2</v>
      </c>
      <c r="N40" s="7">
        <f>Table145[[#This Row],[EBITDA]]/Table145[[#This Row],[Revenue (Net Sales)]]</f>
        <v>5.6093980802848525E-2</v>
      </c>
    </row>
    <row r="41" spans="1:14">
      <c r="A41" s="3">
        <v>2024</v>
      </c>
      <c r="B41" s="5">
        <v>1355630000</v>
      </c>
      <c r="C41" s="5">
        <v>675423000</v>
      </c>
      <c r="D41" s="5">
        <v>524479000</v>
      </c>
      <c r="E41" s="5">
        <v>155728000</v>
      </c>
      <c r="F41" s="5">
        <v>7274000</v>
      </c>
      <c r="G41" s="5">
        <f>Table145[[#This Row],[Operating Income]]+Table145[[#This Row],[Depreciation &amp; Amortization]]</f>
        <v>163002000</v>
      </c>
      <c r="H41" s="5"/>
      <c r="I41" s="5"/>
      <c r="J41" s="5"/>
      <c r="K41" s="7">
        <f>Table145[[#This Row],[COGS (Cost of Sales) = Gross Profit - Revenue]]/Table145[[#This Row],[Revenue (Net Sales)]]</f>
        <v>0.49823550673856437</v>
      </c>
      <c r="L41" s="7">
        <f>Table145[[#This Row],[Operating Expenses (SG&amp;A proxy)]]/Table145[[#This Row],[Revenue (Net Sales)]]</f>
        <v>0.38688949049519411</v>
      </c>
      <c r="M41" s="7">
        <f>Table145[[#This Row],[Operating Income]]/Table145[[#This Row],[Revenue (Net Sales)]]</f>
        <v>0.11487500276624153</v>
      </c>
      <c r="N41" s="7">
        <f>Table145[[#This Row],[EBITDA]]/Table145[[#This Row],[Revenue (Net Sales)]]</f>
        <v>0.12024077366243001</v>
      </c>
    </row>
    <row r="42" spans="1:14">
      <c r="A42" s="3">
        <v>2023</v>
      </c>
      <c r="B42" s="5">
        <v>1318014000</v>
      </c>
      <c r="C42" s="5">
        <v>684875000</v>
      </c>
      <c r="D42" s="5">
        <v>366773000</v>
      </c>
      <c r="E42" s="5">
        <v>266366000</v>
      </c>
      <c r="F42" s="5">
        <v>3226000</v>
      </c>
      <c r="G42" s="5">
        <f>Table145[[#This Row],[Operating Income]]+Table145[[#This Row],[Depreciation &amp; Amortization]]</f>
        <v>269592000</v>
      </c>
      <c r="H42" s="5"/>
      <c r="I42" s="5"/>
      <c r="J42" s="5"/>
      <c r="K42" s="7">
        <f>Table145[[#This Row],[COGS (Cost of Sales) = Gross Profit - Revenue]]/Table145[[#This Row],[Revenue (Net Sales)]]</f>
        <v>0.51962649865631172</v>
      </c>
      <c r="L42" s="7">
        <f>Table145[[#This Row],[Operating Expenses (SG&amp;A proxy)]]/Table145[[#This Row],[Revenue (Net Sales)]]</f>
        <v>0.27827701374947461</v>
      </c>
      <c r="M42" s="7">
        <f>Table145[[#This Row],[Operating Income]]/Table145[[#This Row],[Revenue (Net Sales)]]</f>
        <v>0.20209648759421373</v>
      </c>
      <c r="N42" s="7">
        <f>Table145[[#This Row],[EBITDA]]/Table145[[#This Row],[Revenue (Net Sales)]]</f>
        <v>0.20454410954663607</v>
      </c>
    </row>
    <row r="43" spans="1:14">
      <c r="A43" s="3">
        <v>2022</v>
      </c>
      <c r="B43" s="5">
        <v>653604000</v>
      </c>
      <c r="C43" s="5">
        <v>382735000</v>
      </c>
      <c r="D43" s="5">
        <f>Table145[[#This Row],[Selling &amp; Marketing (if reported separately)]]+Table145[[#This Row],[General &amp; Administrative (if reported separately)]]</f>
        <v>428670000</v>
      </c>
      <c r="E43" s="5">
        <v>-157801000</v>
      </c>
      <c r="F43" s="5">
        <v>1362000</v>
      </c>
      <c r="G43" s="5">
        <f>Table145[[#This Row],[Operating Income]]+Table145[[#This Row],[Depreciation &amp; Amortization]]</f>
        <v>-156439000</v>
      </c>
      <c r="H43" s="5">
        <v>352767000</v>
      </c>
      <c r="I43" s="5">
        <v>75903000</v>
      </c>
      <c r="J43" s="5"/>
      <c r="K43" s="7">
        <f>Table145[[#This Row],[COGS (Cost of Sales) = Gross Profit - Revenue]]/Table145[[#This Row],[Revenue (Net Sales)]]</f>
        <v>0.58557628166290288</v>
      </c>
      <c r="L43" s="7">
        <f>Table145[[#This Row],[Operating Expenses (SG&amp;A proxy)]]/Table145[[#This Row],[Revenue (Net Sales)]]</f>
        <v>0.65585583931554892</v>
      </c>
      <c r="M43" s="7">
        <f>Table145[[#This Row],[Operating Income]]/Table145[[#This Row],[Revenue (Net Sales)]]</f>
        <v>-0.24143212097845179</v>
      </c>
      <c r="N43" s="7">
        <f>Table145[[#This Row],[EBITDA]]/Table145[[#This Row],[Revenue (Net Sales)]]</f>
        <v>-0.23934829040213954</v>
      </c>
    </row>
    <row r="44" spans="1:14">
      <c r="A44" s="3">
        <v>2021</v>
      </c>
      <c r="B44" s="5">
        <v>314272000</v>
      </c>
      <c r="C44" s="5">
        <v>186103000</v>
      </c>
      <c r="D44" s="5">
        <f>Table145[[#This Row],[Selling &amp; Marketing (if reported separately)]]+Table145[[#This Row],[General &amp; Administrative (if reported separately)]]</f>
        <v>132259000</v>
      </c>
      <c r="E44" s="5">
        <v>-4090000</v>
      </c>
      <c r="F44" s="5">
        <v>550000</v>
      </c>
      <c r="G44" s="5">
        <f>Table145[[#This Row],[Operating Income]]+Table145[[#This Row],[Depreciation &amp; Amortization]]</f>
        <v>-3540000</v>
      </c>
      <c r="H44" s="5">
        <v>74739000</v>
      </c>
      <c r="I44" s="5">
        <v>57520000</v>
      </c>
      <c r="J44" s="5"/>
      <c r="K44" s="7">
        <f>Table145[[#This Row],[COGS (Cost of Sales) = Gross Profit - Revenue]]/Table145[[#This Row],[Revenue (Net Sales)]]</f>
        <v>0.59217174931269723</v>
      </c>
      <c r="L44" s="7">
        <f>Table145[[#This Row],[Operating Expenses (SG&amp;A proxy)]]/Table145[[#This Row],[Revenue (Net Sales)]]</f>
        <v>0.42084245494348843</v>
      </c>
      <c r="M44" s="7">
        <f>Table145[[#This Row],[Operating Income]]/Table145[[#This Row],[Revenue (Net Sales)]]</f>
        <v>-1.3014204256185725E-2</v>
      </c>
      <c r="N44" s="7">
        <f>Table145[[#This Row],[EBITDA]]/Table145[[#This Row],[Revenue (Net Sales)]]</f>
        <v>-1.1264127889216984E-2</v>
      </c>
    </row>
    <row r="45" spans="1:14">
      <c r="A45" s="3">
        <v>2020</v>
      </c>
      <c r="B45" s="5">
        <v>130726000</v>
      </c>
      <c r="C45" s="5">
        <v>69752000</v>
      </c>
      <c r="D45" s="5">
        <f>Table145[[#This Row],[Selling &amp; Marketing (if reported separately)]]+Table145[[#This Row],[General &amp; Administrative (if reported separately)]]</f>
        <v>53062000</v>
      </c>
      <c r="E45" s="5">
        <v>7912000</v>
      </c>
      <c r="F45" s="8">
        <v>127000</v>
      </c>
      <c r="G45" s="5">
        <f>Table145[[#This Row],[Operating Income]]+Table145[[#This Row],[Depreciation &amp; Amortization]]</f>
        <v>8039000</v>
      </c>
      <c r="H45" s="5">
        <v>34875000</v>
      </c>
      <c r="I45" s="5">
        <v>18187000</v>
      </c>
      <c r="J45" s="5"/>
      <c r="K45" s="7">
        <f>Table145[[#This Row],[COGS (Cost of Sales) = Gross Profit - Revenue]]/Table145[[#This Row],[Revenue (Net Sales)]]</f>
        <v>0.53357404035922462</v>
      </c>
      <c r="L45" s="7">
        <f>Table145[[#This Row],[Operating Expenses (SG&amp;A proxy)]]/Table145[[#This Row],[Revenue (Net Sales)]]</f>
        <v>0.40590242185946179</v>
      </c>
      <c r="M45" s="7">
        <f>Table145[[#This Row],[Operating Income]]/Table145[[#This Row],[Revenue (Net Sales)]]</f>
        <v>6.0523537781313586E-2</v>
      </c>
      <c r="N45" s="7">
        <f>Table145[[#This Row],[EBITDA]]/Table145[[#This Row],[Revenue (Net Sales)]]</f>
        <v>6.1495035417590993E-2</v>
      </c>
    </row>
    <row r="46" spans="1:14">
      <c r="A46" s="3">
        <v>2019</v>
      </c>
      <c r="B46" s="5">
        <v>75146546</v>
      </c>
      <c r="C46" s="5">
        <v>43844733</v>
      </c>
      <c r="D46" s="5">
        <f>Table145[[#This Row],[Selling &amp; Marketing (if reported separately)]]+Table145[[#This Row],[General &amp; Administrative (if reported separately)]]</f>
        <v>32750256</v>
      </c>
      <c r="E46" s="5">
        <v>-1448443</v>
      </c>
      <c r="F46" s="10">
        <v>893413</v>
      </c>
      <c r="G46" s="5">
        <f>Table145[[#This Row],[Operating Income]]+Table145[[#This Row],[Depreciation &amp; Amortization]]</f>
        <v>-555030</v>
      </c>
      <c r="H46" s="5">
        <v>21129722</v>
      </c>
      <c r="I46" s="5">
        <v>11620534</v>
      </c>
      <c r="J46" s="5"/>
      <c r="K46" s="7">
        <f>Table145[[#This Row],[COGS (Cost of Sales) = Gross Profit - Revenue]]/Table145[[#This Row],[Revenue (Net Sales)]]</f>
        <v>0.58345639731731647</v>
      </c>
      <c r="L46" s="7">
        <f>Table145[[#This Row],[Operating Expenses (SG&amp;A proxy)]]/Table145[[#This Row],[Revenue (Net Sales)]]</f>
        <v>0.43581851386755688</v>
      </c>
      <c r="M46" s="7">
        <f>Table145[[#This Row],[Operating Income]]/Table145[[#This Row],[Revenue (Net Sales)]]</f>
        <v>-1.9274911184873355E-2</v>
      </c>
      <c r="N46" s="7">
        <f>Table145[[#This Row],[EBITDA]]/Table145[[#This Row],[Revenue (Net Sales)]]</f>
        <v>-7.3859682120319941E-3</v>
      </c>
    </row>
    <row r="47" spans="1:14">
      <c r="A47" s="3">
        <v>2018</v>
      </c>
      <c r="B47" s="5">
        <v>52603986</v>
      </c>
      <c r="C47" s="5">
        <v>31543608</v>
      </c>
      <c r="D47" s="5">
        <f>Table145[[#This Row],[Selling &amp; Marketing (if reported separately)]]+Table145[[#This Row],[General &amp; Administrative (if reported separately)]]</f>
        <v>31701122</v>
      </c>
      <c r="E47" s="5">
        <v>-10640744</v>
      </c>
      <c r="F47" s="5">
        <v>72162</v>
      </c>
      <c r="G47" s="5">
        <f>Table145[[#This Row],[Operating Income]]+Table145[[#This Row],[Depreciation &amp; Amortization]]</f>
        <v>-10568582</v>
      </c>
      <c r="H47" s="5">
        <v>21213530</v>
      </c>
      <c r="I47" s="5">
        <v>10487592</v>
      </c>
      <c r="J47" s="5"/>
      <c r="K47" s="7">
        <f>Table145[[#This Row],[COGS (Cost of Sales) = Gross Profit - Revenue]]/Table145[[#This Row],[Revenue (Net Sales)]]</f>
        <v>0.59964292439740208</v>
      </c>
      <c r="L47" s="7">
        <f>Table145[[#This Row],[Operating Expenses (SG&amp;A proxy)]]/Table145[[#This Row],[Revenue (Net Sales)]]</f>
        <v>0.60263726022586961</v>
      </c>
      <c r="M47" s="7">
        <f>Table145[[#This Row],[Operating Income]]/Table145[[#This Row],[Revenue (Net Sales)]]</f>
        <v>-0.20228018462327171</v>
      </c>
      <c r="N47" s="7">
        <f>Table145[[#This Row],[EBITDA]]/Table145[[#This Row],[Revenue (Net Sales)]]</f>
        <v>-0.20090838743664785</v>
      </c>
    </row>
    <row r="48" spans="1:14">
      <c r="A48" s="3">
        <v>2017</v>
      </c>
      <c r="B48" s="5">
        <v>36164064</v>
      </c>
      <c r="C48" s="5">
        <v>20733387</v>
      </c>
      <c r="D48" s="5">
        <f>Table145[[#This Row],[Selling &amp; Marketing (if reported separately)]]+Table145[[#This Row],[General &amp; Administrative (if reported separately)]]</f>
        <v>23510644</v>
      </c>
      <c r="E48" s="5">
        <v>-8079967</v>
      </c>
      <c r="F48" s="5">
        <v>20425</v>
      </c>
      <c r="G48" s="5">
        <f>Table145[[#This Row],[Operating Income]]+Table145[[#This Row],[Depreciation &amp; Amortization]]</f>
        <v>-8059542</v>
      </c>
      <c r="H48" s="5">
        <v>16611369</v>
      </c>
      <c r="I48" s="5">
        <v>6899275</v>
      </c>
      <c r="J48" s="5"/>
      <c r="K48" s="7">
        <f>Table145[[#This Row],[COGS (Cost of Sales) = Gross Profit - Revenue]]/Table145[[#This Row],[Revenue (Net Sales)]]</f>
        <v>0.57331463078928302</v>
      </c>
      <c r="L48" s="7">
        <f>Table145[[#This Row],[Operating Expenses (SG&amp;A proxy)]]/Table145[[#This Row],[Revenue (Net Sales)]]</f>
        <v>0.65011067340219286</v>
      </c>
      <c r="M48" s="7">
        <f>Table145[[#This Row],[Operating Income]]/Table145[[#This Row],[Revenue (Net Sales)]]</f>
        <v>-0.22342530419147583</v>
      </c>
      <c r="N48" s="7">
        <f>Table145[[#This Row],[EBITDA]]/Table145[[#This Row],[Revenue (Net Sales)]]</f>
        <v>-0.22286051700384116</v>
      </c>
    </row>
    <row r="49" spans="1:14">
      <c r="A49" s="3">
        <v>2016</v>
      </c>
      <c r="B49" s="5">
        <v>22760983</v>
      </c>
      <c r="C49" s="5">
        <v>13031153</v>
      </c>
      <c r="D49" s="5">
        <f>Table145[[#This Row],[Selling &amp; Marketing (if reported separately)]]+Table145[[#This Row],[General &amp; Administrative (if reported separately)]]</f>
        <v>12574794</v>
      </c>
      <c r="E49" s="5">
        <v>-2844960</v>
      </c>
      <c r="F49" s="5">
        <v>16951</v>
      </c>
      <c r="G49" s="5">
        <f>Table145[[#This Row],[Operating Income]]+Table145[[#This Row],[Depreciation &amp; Amortization]]</f>
        <v>-2828009</v>
      </c>
      <c r="H49" s="10">
        <v>8675763</v>
      </c>
      <c r="I49" s="10">
        <v>3899031</v>
      </c>
      <c r="J49" s="5"/>
      <c r="K49" s="7">
        <f>Table145[[#This Row],[COGS (Cost of Sales) = Gross Profit - Revenue]]/Table145[[#This Row],[Revenue (Net Sales)]]</f>
        <v>0.57252153828329821</v>
      </c>
      <c r="L49" s="7">
        <f>Table145[[#This Row],[Operating Expenses (SG&amp;A proxy)]]/Table145[[#This Row],[Revenue (Net Sales)]]</f>
        <v>0.55247148157001835</v>
      </c>
      <c r="M49" s="7">
        <f>Table145[[#This Row],[Operating Income]]/Table145[[#This Row],[Revenue (Net Sales)]]</f>
        <v>-0.12499284411398225</v>
      </c>
      <c r="N49" s="7">
        <f>Table145[[#This Row],[EBITDA]]/Table145[[#This Row],[Revenue (Net Sales)]]</f>
        <v>-0.12424810475013316</v>
      </c>
    </row>
    <row r="54" spans="1:14">
      <c r="A54" s="6" t="s">
        <v>0</v>
      </c>
      <c r="B54" s="6" t="s">
        <v>45</v>
      </c>
      <c r="C54" s="6" t="s">
        <v>46</v>
      </c>
      <c r="D54" s="6" t="s">
        <v>9</v>
      </c>
      <c r="E54" s="6" t="s">
        <v>10</v>
      </c>
      <c r="F54" s="6" t="s">
        <v>47</v>
      </c>
      <c r="G54" s="6" t="s">
        <v>41</v>
      </c>
      <c r="H54" s="6" t="s">
        <v>49</v>
      </c>
      <c r="I54" s="6"/>
    </row>
    <row r="55" spans="1:14">
      <c r="A55" s="1">
        <v>2025</v>
      </c>
      <c r="B55" s="1" t="s">
        <v>40</v>
      </c>
      <c r="C55" s="11">
        <v>8294343000</v>
      </c>
      <c r="D55" s="12">
        <v>0.442</v>
      </c>
      <c r="E55" s="12">
        <v>0.26700000000000002</v>
      </c>
      <c r="F55" s="12">
        <v>0.29199999999999998</v>
      </c>
      <c r="G55" s="12">
        <v>0.30499999999999999</v>
      </c>
      <c r="H55" s="12">
        <f>(Table5[[#This Row],[Revenue]]-C56)/C56</f>
        <v>0.10698854045979898</v>
      </c>
      <c r="I55" s="12"/>
    </row>
    <row r="56" spans="1:14">
      <c r="A56" s="1">
        <v>2024</v>
      </c>
      <c r="B56" s="1" t="s">
        <v>40</v>
      </c>
      <c r="C56" s="11">
        <v>7492709000</v>
      </c>
      <c r="D56" s="12">
        <v>0.46</v>
      </c>
      <c r="E56" s="12">
        <v>0.28299999999999997</v>
      </c>
      <c r="F56" s="12">
        <v>0.25800000000000001</v>
      </c>
      <c r="G56" s="12">
        <v>0.26800000000000002</v>
      </c>
      <c r="H56" s="12">
        <f>(Table5[[#This Row],[Revenue]]-C57)/C57</f>
        <v>4.9395051307228953E-2</v>
      </c>
      <c r="I56" s="12"/>
    </row>
    <row r="57" spans="1:14">
      <c r="A57" s="1">
        <v>2023</v>
      </c>
      <c r="B57" s="1" t="s">
        <v>40</v>
      </c>
      <c r="C57" s="11">
        <v>7140027000</v>
      </c>
      <c r="D57" s="12">
        <v>0.46899999999999997</v>
      </c>
      <c r="E57" s="12">
        <v>0.25800000000000001</v>
      </c>
      <c r="F57" s="12">
        <v>0.27400000000000002</v>
      </c>
      <c r="G57" s="12">
        <v>0.28299999999999997</v>
      </c>
      <c r="H57" s="12">
        <f>(Table5[[#This Row],[Revenue]]-C58)/C58</f>
        <v>0.13135326134319963</v>
      </c>
      <c r="I57" s="12"/>
      <c r="J57" s="27"/>
    </row>
    <row r="58" spans="1:14">
      <c r="A58" s="1">
        <v>2022</v>
      </c>
      <c r="B58" s="1" t="s">
        <v>40</v>
      </c>
      <c r="C58" s="11">
        <v>6311050000</v>
      </c>
      <c r="D58" s="12">
        <v>0.497</v>
      </c>
      <c r="E58" s="12">
        <v>0.252</v>
      </c>
      <c r="F58" s="12">
        <v>0.251</v>
      </c>
      <c r="G58" s="12">
        <v>0.26100000000000001</v>
      </c>
      <c r="H58" s="12">
        <f>(Table5[[#This Row],[Revenue]]-C59)/C59</f>
        <v>0.13890075923709594</v>
      </c>
      <c r="I58" s="12"/>
    </row>
    <row r="59" spans="1:14">
      <c r="A59" s="1">
        <v>2021</v>
      </c>
      <c r="B59" s="1" t="s">
        <v>40</v>
      </c>
      <c r="C59" s="11">
        <v>5541352000</v>
      </c>
      <c r="D59" s="12">
        <v>0.439</v>
      </c>
      <c r="E59" s="12">
        <v>0.23699999999999999</v>
      </c>
      <c r="F59" s="12">
        <v>0.32400000000000001</v>
      </c>
      <c r="G59" s="12">
        <v>0.33300000000000002</v>
      </c>
      <c r="H59" s="12">
        <f>(Table5[[#This Row],[Revenue]]-C60)/C60</f>
        <v>0.20499852347586395</v>
      </c>
      <c r="I59" s="12"/>
    </row>
    <row r="60" spans="1:14">
      <c r="A60" s="1">
        <v>2020</v>
      </c>
      <c r="B60" s="1" t="s">
        <v>40</v>
      </c>
      <c r="C60" s="11">
        <v>4598638000</v>
      </c>
      <c r="D60" s="12">
        <v>0.40799999999999997</v>
      </c>
      <c r="E60" s="12">
        <v>0.23699999999999999</v>
      </c>
      <c r="F60" s="12">
        <v>0.35499999999999998</v>
      </c>
      <c r="G60" s="12">
        <v>0.36799999999999999</v>
      </c>
      <c r="H60" s="12">
        <f>(Table5[[#This Row],[Revenue]]-C61)/C61</f>
        <v>9.4700342956932929E-2</v>
      </c>
      <c r="I60" s="12"/>
    </row>
    <row r="61" spans="1:14">
      <c r="A61" s="1">
        <v>2019</v>
      </c>
      <c r="B61" s="1" t="s">
        <v>40</v>
      </c>
      <c r="C61" s="11">
        <v>4200819000</v>
      </c>
      <c r="D61" s="12">
        <v>0.4</v>
      </c>
      <c r="E61" s="12">
        <v>0.26600000000000001</v>
      </c>
      <c r="F61" s="12">
        <v>0.33400000000000002</v>
      </c>
      <c r="G61" s="12">
        <v>0.34799999999999998</v>
      </c>
      <c r="H61" s="12">
        <f>(Table5[[#This Row],[Revenue]]-C62)/C62</f>
        <v>0.10339298110965509</v>
      </c>
      <c r="I61" s="12"/>
    </row>
    <row r="62" spans="1:14">
      <c r="A62" s="1">
        <v>2018</v>
      </c>
      <c r="B62" s="1" t="s">
        <v>40</v>
      </c>
      <c r="C62" s="11">
        <v>3807183000</v>
      </c>
      <c r="D62" s="12">
        <v>0.39700000000000002</v>
      </c>
      <c r="E62" s="12">
        <v>0.26600000000000001</v>
      </c>
      <c r="F62" s="12">
        <v>0.33700000000000002</v>
      </c>
      <c r="G62" s="12">
        <v>0.35199999999999998</v>
      </c>
      <c r="H62" s="12">
        <f>(Table5[[#This Row],[Revenue]]-C63)/C63</f>
        <v>0.13004812936603696</v>
      </c>
      <c r="I62" s="12"/>
    </row>
    <row r="63" spans="1:14">
      <c r="A63" s="1">
        <v>2017</v>
      </c>
      <c r="B63" s="1" t="s">
        <v>40</v>
      </c>
      <c r="C63" s="11">
        <v>3369045000</v>
      </c>
      <c r="D63" s="12">
        <v>0.36499999999999999</v>
      </c>
      <c r="E63" s="12">
        <v>0.27900000000000003</v>
      </c>
      <c r="F63" s="12">
        <v>0.35599999999999998</v>
      </c>
      <c r="G63" s="12">
        <v>0.37</v>
      </c>
      <c r="H63" s="12">
        <f>(Table5[[#This Row],[Revenue]]-C64)/C64</f>
        <v>0.10482479627912834</v>
      </c>
      <c r="I63" s="12"/>
    </row>
    <row r="64" spans="1:14">
      <c r="A64" s="1">
        <v>2016</v>
      </c>
      <c r="B64" s="1" t="s">
        <v>40</v>
      </c>
      <c r="C64" s="11">
        <v>3049393000</v>
      </c>
      <c r="D64" s="12">
        <v>0.36299999999999999</v>
      </c>
      <c r="E64" s="12">
        <v>0.28100000000000003</v>
      </c>
      <c r="F64" s="12">
        <v>0.35599999999999998</v>
      </c>
      <c r="G64" s="12">
        <v>0.36899999999999999</v>
      </c>
      <c r="H64" s="12">
        <f>(3049393000-2722564000)/2722564000</f>
        <v>0.12004456093594126</v>
      </c>
      <c r="I64" s="12"/>
      <c r="K64" s="15"/>
    </row>
    <row r="65" spans="1:11">
      <c r="A65" s="1">
        <v>2025</v>
      </c>
      <c r="B65" s="1" t="s">
        <v>48</v>
      </c>
      <c r="C65" s="11">
        <v>2515269000</v>
      </c>
      <c r="D65" s="12">
        <v>0.496</v>
      </c>
      <c r="E65" s="12">
        <v>0.318</v>
      </c>
      <c r="F65" s="12">
        <v>5.6000000000000001E-2</v>
      </c>
      <c r="G65" s="12">
        <v>5.6000000000000001E-2</v>
      </c>
      <c r="H65" s="12">
        <f>(Table5[[#This Row],[Revenue]]-C66)/C66</f>
        <v>0.85542441521654133</v>
      </c>
      <c r="I65" s="12"/>
    </row>
    <row r="66" spans="1:11">
      <c r="A66" s="1">
        <v>2024</v>
      </c>
      <c r="B66" s="1" t="s">
        <v>48</v>
      </c>
      <c r="C66" s="11">
        <v>1355630000</v>
      </c>
      <c r="D66" s="12">
        <v>0.498</v>
      </c>
      <c r="E66" s="12">
        <v>0.38700000000000001</v>
      </c>
      <c r="F66" s="12">
        <v>0.115</v>
      </c>
      <c r="G66" s="12">
        <v>0.12</v>
      </c>
      <c r="H66" s="12">
        <f>(Table5[[#This Row],[Revenue]]-C67)/C67</f>
        <v>2.8539909287761737E-2</v>
      </c>
      <c r="I66" s="12"/>
    </row>
    <row r="67" spans="1:11">
      <c r="A67" s="1">
        <v>2023</v>
      </c>
      <c r="B67" s="1" t="s">
        <v>48</v>
      </c>
      <c r="C67" s="11">
        <v>1318014000</v>
      </c>
      <c r="D67" s="12">
        <v>0.52</v>
      </c>
      <c r="E67" s="12">
        <v>0.27800000000000002</v>
      </c>
      <c r="F67" s="12">
        <v>0.20200000000000001</v>
      </c>
      <c r="G67" s="12">
        <v>0.20499999999999999</v>
      </c>
      <c r="H67" s="12">
        <f>(Table5[[#This Row],[Revenue]]-C68)/C68</f>
        <v>1.0165329465547945</v>
      </c>
      <c r="I67" s="12"/>
    </row>
    <row r="68" spans="1:11">
      <c r="A68" s="1">
        <v>2022</v>
      </c>
      <c r="B68" s="1" t="s">
        <v>48</v>
      </c>
      <c r="C68" s="11">
        <v>653604000</v>
      </c>
      <c r="D68" s="12">
        <v>0.58599999999999997</v>
      </c>
      <c r="E68" s="12">
        <v>0.65600000000000003</v>
      </c>
      <c r="F68" s="12">
        <v>-0.24099999999999999</v>
      </c>
      <c r="G68" s="12">
        <v>-0.23899999999999999</v>
      </c>
      <c r="H68" s="12">
        <f>(Table5[[#This Row],[Revenue]]-C69)/C69</f>
        <v>1.0797398431931575</v>
      </c>
      <c r="I68" s="12"/>
    </row>
    <row r="69" spans="1:11">
      <c r="A69" s="1">
        <v>2021</v>
      </c>
      <c r="B69" s="1" t="s">
        <v>48</v>
      </c>
      <c r="C69" s="11">
        <v>314272000</v>
      </c>
      <c r="D69" s="12">
        <v>0.59199999999999997</v>
      </c>
      <c r="E69" s="12">
        <v>0.42099999999999999</v>
      </c>
      <c r="F69" s="12">
        <v>-1.2999999999999999E-2</v>
      </c>
      <c r="G69" s="12">
        <v>-1.0999999999999999E-2</v>
      </c>
      <c r="H69" s="12">
        <f>(Table5[[#This Row],[Revenue]]-C70)/C70</f>
        <v>1.4040512216391536</v>
      </c>
      <c r="I69" s="12"/>
    </row>
    <row r="70" spans="1:11">
      <c r="A70" s="1">
        <v>2020</v>
      </c>
      <c r="B70" s="1" t="s">
        <v>48</v>
      </c>
      <c r="C70" s="11">
        <v>130726000</v>
      </c>
      <c r="D70" s="12">
        <v>0.53400000000000003</v>
      </c>
      <c r="E70" s="12">
        <v>0.40600000000000003</v>
      </c>
      <c r="F70" s="12">
        <v>6.0999999999999999E-2</v>
      </c>
      <c r="G70" s="12">
        <v>6.0999999999999999E-2</v>
      </c>
      <c r="H70" s="12">
        <f>(Table5[[#This Row],[Revenue]]-C71)/C71</f>
        <v>0.73961421992702103</v>
      </c>
      <c r="I70" s="12"/>
    </row>
    <row r="71" spans="1:11">
      <c r="A71" s="1">
        <v>2019</v>
      </c>
      <c r="B71" s="1" t="s">
        <v>48</v>
      </c>
      <c r="C71" s="11">
        <v>75146546</v>
      </c>
      <c r="D71" s="12">
        <v>0.58299999999999996</v>
      </c>
      <c r="E71" s="12">
        <v>0.436</v>
      </c>
      <c r="F71" s="12">
        <v>-1.9E-2</v>
      </c>
      <c r="G71" s="12">
        <v>-7.0000000000000001E-3</v>
      </c>
      <c r="H71" s="12">
        <f>(Table5[[#This Row],[Revenue]]-C72)/C72</f>
        <v>0.42853330544191082</v>
      </c>
      <c r="I71" s="12"/>
    </row>
    <row r="72" spans="1:11">
      <c r="A72" s="1">
        <v>2018</v>
      </c>
      <c r="B72" s="1" t="s">
        <v>48</v>
      </c>
      <c r="C72" s="11">
        <v>52603986</v>
      </c>
      <c r="D72" s="12">
        <v>0.6</v>
      </c>
      <c r="E72" s="12">
        <v>0.60299999999999998</v>
      </c>
      <c r="F72" s="12">
        <v>-0.20200000000000001</v>
      </c>
      <c r="G72" s="12">
        <v>-0.20100000000000001</v>
      </c>
      <c r="H72" s="12">
        <f>(Table5[[#This Row],[Revenue]]-C73)/C73</f>
        <v>0.45459276921974257</v>
      </c>
      <c r="I72" s="12"/>
    </row>
    <row r="73" spans="1:11">
      <c r="A73" s="1">
        <v>2017</v>
      </c>
      <c r="B73" s="1" t="s">
        <v>48</v>
      </c>
      <c r="C73" s="11">
        <v>36164064</v>
      </c>
      <c r="D73" s="12">
        <v>0.57299999999999995</v>
      </c>
      <c r="E73" s="12">
        <v>0.65</v>
      </c>
      <c r="F73" s="12">
        <v>-0.223</v>
      </c>
      <c r="G73" s="12">
        <v>-0.223</v>
      </c>
      <c r="H73" s="12">
        <f>(Table5[[#This Row],[Revenue]]-C74)/C74</f>
        <v>0.5888621330634094</v>
      </c>
      <c r="I73" s="12"/>
    </row>
    <row r="74" spans="1:11">
      <c r="A74" s="1">
        <v>2016</v>
      </c>
      <c r="B74" s="1" t="s">
        <v>48</v>
      </c>
      <c r="C74" s="11">
        <v>22760983</v>
      </c>
      <c r="D74" s="12">
        <v>0.57299999999999995</v>
      </c>
      <c r="E74" s="12">
        <v>0.55200000000000005</v>
      </c>
      <c r="F74" s="12">
        <v>-0.125</v>
      </c>
      <c r="G74" s="12">
        <v>-0.124</v>
      </c>
      <c r="H74" s="12">
        <f>(22760983-17217944)/17217944</f>
        <v>0.32193384994166552</v>
      </c>
      <c r="I74" s="12"/>
      <c r="K74" s="15"/>
    </row>
    <row r="75" spans="1:11">
      <c r="A75" s="1"/>
      <c r="B75" s="1"/>
      <c r="C75" s="13"/>
      <c r="D75" s="14"/>
      <c r="E75" s="14"/>
      <c r="F75" s="12"/>
      <c r="G75" s="12"/>
      <c r="H75" s="12"/>
    </row>
    <row r="79" spans="1:11">
      <c r="E79" s="27">
        <f>CORREL(E55:E74,H55:H74)</f>
        <v>0.47449389302949962</v>
      </c>
    </row>
  </sheetData>
  <pageMargins left="0.75" right="0.75" top="1" bottom="1" header="0.5" footer="0.5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D81F-F017-443E-8342-ED04F4FC16F7}">
  <dimension ref="A1:O63"/>
  <sheetViews>
    <sheetView zoomScale="85" zoomScaleNormal="85" workbookViewId="0">
      <selection activeCell="L22" sqref="L22"/>
    </sheetView>
  </sheetViews>
  <sheetFormatPr defaultRowHeight="14.4"/>
  <cols>
    <col min="1" max="1" width="9.5546875" bestFit="1" customWidth="1"/>
    <col min="2" max="2" width="12.88671875" bestFit="1" customWidth="1"/>
    <col min="3" max="3" width="15.6640625" bestFit="1" customWidth="1"/>
    <col min="4" max="6" width="13.44140625" bestFit="1" customWidth="1"/>
    <col min="7" max="7" width="11.88671875" bestFit="1" customWidth="1"/>
    <col min="8" max="8" width="13.44140625" bestFit="1" customWidth="1"/>
  </cols>
  <sheetData>
    <row r="1" spans="1:15" ht="28.8">
      <c r="A1" s="6" t="s">
        <v>0</v>
      </c>
      <c r="B1" s="6" t="s">
        <v>45</v>
      </c>
      <c r="C1" s="6" t="s">
        <v>46</v>
      </c>
      <c r="D1" s="6" t="s">
        <v>9</v>
      </c>
      <c r="E1" s="6" t="s">
        <v>10</v>
      </c>
      <c r="F1" s="6" t="s">
        <v>47</v>
      </c>
      <c r="G1" s="6" t="s">
        <v>41</v>
      </c>
      <c r="H1" s="6" t="s">
        <v>49</v>
      </c>
    </row>
    <row r="2" spans="1:15">
      <c r="A2" s="1">
        <v>2025</v>
      </c>
      <c r="B2" s="1" t="s">
        <v>40</v>
      </c>
      <c r="C2" s="11">
        <v>8294343000</v>
      </c>
      <c r="D2" s="12">
        <v>0.442</v>
      </c>
      <c r="E2" s="12">
        <v>0.26700000000000002</v>
      </c>
      <c r="F2" s="12">
        <v>0.29199999999999998</v>
      </c>
      <c r="G2" s="12">
        <v>0.30499999999999999</v>
      </c>
      <c r="H2" s="12">
        <f>(Table53[[#This Row],[Revenue]]-C3)/C3</f>
        <v>0.10698854045979898</v>
      </c>
    </row>
    <row r="3" spans="1:15">
      <c r="A3" s="1">
        <v>2024</v>
      </c>
      <c r="B3" s="1" t="s">
        <v>40</v>
      </c>
      <c r="C3" s="11">
        <v>7492709000</v>
      </c>
      <c r="D3" s="12">
        <v>0.46</v>
      </c>
      <c r="E3" s="12">
        <v>0.28299999999999997</v>
      </c>
      <c r="F3" s="12">
        <v>0.25800000000000001</v>
      </c>
      <c r="G3" s="12">
        <v>0.26800000000000002</v>
      </c>
      <c r="H3" s="12">
        <f>(Table53[[#This Row],[Revenue]]-C4)/C4</f>
        <v>4.9395051307228953E-2</v>
      </c>
    </row>
    <row r="4" spans="1:15">
      <c r="A4" s="1">
        <v>2023</v>
      </c>
      <c r="B4" s="1" t="s">
        <v>40</v>
      </c>
      <c r="C4" s="11">
        <v>7140027000</v>
      </c>
      <c r="D4" s="12">
        <v>0.46899999999999997</v>
      </c>
      <c r="E4" s="12">
        <v>0.25800000000000001</v>
      </c>
      <c r="F4" s="12">
        <v>0.27400000000000002</v>
      </c>
      <c r="G4" s="12">
        <v>0.28299999999999997</v>
      </c>
      <c r="H4" s="12">
        <f>(Table53[[#This Row],[Revenue]]-C5)/C5</f>
        <v>0.13135326134319963</v>
      </c>
    </row>
    <row r="5" spans="1:15">
      <c r="A5" s="1">
        <v>2022</v>
      </c>
      <c r="B5" s="1" t="s">
        <v>40</v>
      </c>
      <c r="C5" s="11">
        <v>6311050000</v>
      </c>
      <c r="D5" s="12">
        <v>0.497</v>
      </c>
      <c r="E5" s="12">
        <v>0.252</v>
      </c>
      <c r="F5" s="12">
        <v>0.251</v>
      </c>
      <c r="G5" s="12">
        <v>0.26100000000000001</v>
      </c>
      <c r="H5" s="12">
        <f>(Table53[[#This Row],[Revenue]]-C6)/C6</f>
        <v>0.13890075923709594</v>
      </c>
    </row>
    <row r="6" spans="1:15">
      <c r="A6" s="1">
        <v>2021</v>
      </c>
      <c r="B6" s="1" t="s">
        <v>40</v>
      </c>
      <c r="C6" s="11">
        <v>5541352000</v>
      </c>
      <c r="D6" s="12">
        <v>0.439</v>
      </c>
      <c r="E6" s="12">
        <v>0.23699999999999999</v>
      </c>
      <c r="F6" s="12">
        <v>0.32400000000000001</v>
      </c>
      <c r="G6" s="12">
        <v>0.33300000000000002</v>
      </c>
      <c r="H6" s="12">
        <f>(Table53[[#This Row],[Revenue]]-C7)/C7</f>
        <v>0.20499852347586395</v>
      </c>
    </row>
    <row r="7" spans="1:15">
      <c r="A7" s="1">
        <v>2020</v>
      </c>
      <c r="B7" s="1" t="s">
        <v>40</v>
      </c>
      <c r="C7" s="11">
        <v>4598638000</v>
      </c>
      <c r="D7" s="12">
        <v>0.40799999999999997</v>
      </c>
      <c r="E7" s="12">
        <v>0.23699999999999999</v>
      </c>
      <c r="F7" s="12">
        <v>0.35499999999999998</v>
      </c>
      <c r="G7" s="12">
        <v>0.36799999999999999</v>
      </c>
      <c r="H7" s="12">
        <f>(Table53[[#This Row],[Revenue]]-C8)/C8</f>
        <v>9.4700342956932929E-2</v>
      </c>
    </row>
    <row r="8" spans="1:15">
      <c r="A8" s="1">
        <v>2019</v>
      </c>
      <c r="B8" s="1" t="s">
        <v>40</v>
      </c>
      <c r="C8" s="11">
        <v>4200819000</v>
      </c>
      <c r="D8" s="12">
        <v>0.4</v>
      </c>
      <c r="E8" s="12">
        <v>0.26600000000000001</v>
      </c>
      <c r="F8" s="12">
        <v>0.33400000000000002</v>
      </c>
      <c r="G8" s="12">
        <v>0.34799999999999998</v>
      </c>
      <c r="H8" s="12">
        <f>(Table53[[#This Row],[Revenue]]-C9)/C9</f>
        <v>0.10339298110965509</v>
      </c>
    </row>
    <row r="9" spans="1:15">
      <c r="A9" s="1">
        <v>2018</v>
      </c>
      <c r="B9" s="1" t="s">
        <v>40</v>
      </c>
      <c r="C9" s="11">
        <v>3807183000</v>
      </c>
      <c r="D9" s="12">
        <v>0.39700000000000002</v>
      </c>
      <c r="E9" s="12">
        <v>0.26600000000000001</v>
      </c>
      <c r="F9" s="12">
        <v>0.33700000000000002</v>
      </c>
      <c r="G9" s="12">
        <v>0.35199999999999998</v>
      </c>
      <c r="H9" s="12">
        <f>(Table53[[#This Row],[Revenue]]-C10)/C10</f>
        <v>0.13004812936603696</v>
      </c>
    </row>
    <row r="10" spans="1:15">
      <c r="A10" s="1">
        <v>2017</v>
      </c>
      <c r="B10" s="1" t="s">
        <v>40</v>
      </c>
      <c r="C10" s="11">
        <v>3369045000</v>
      </c>
      <c r="D10" s="12">
        <v>0.36499999999999999</v>
      </c>
      <c r="E10" s="12">
        <v>0.27900000000000003</v>
      </c>
      <c r="F10" s="12">
        <v>0.35599999999999998</v>
      </c>
      <c r="G10" s="12">
        <v>0.37</v>
      </c>
      <c r="H10" s="12">
        <f>(Table53[[#This Row],[Revenue]]-C11)/C11</f>
        <v>0.10482479627912834</v>
      </c>
    </row>
    <row r="11" spans="1:15">
      <c r="A11" s="1">
        <v>2016</v>
      </c>
      <c r="B11" s="1" t="s">
        <v>40</v>
      </c>
      <c r="C11" s="11">
        <v>3049393000</v>
      </c>
      <c r="D11" s="12">
        <v>0.36299999999999999</v>
      </c>
      <c r="E11" s="12">
        <v>0.28100000000000003</v>
      </c>
      <c r="F11" s="12">
        <v>0.35599999999999998</v>
      </c>
      <c r="G11" s="12">
        <v>0.36899999999999999</v>
      </c>
      <c r="H11" s="12">
        <f>(3049393000-2722564000)/2722564000</f>
        <v>0.12004456093594126</v>
      </c>
    </row>
    <row r="12" spans="1:15">
      <c r="A12" s="1">
        <v>2025</v>
      </c>
      <c r="B12" s="1" t="s">
        <v>48</v>
      </c>
      <c r="C12" s="11">
        <v>2515269000</v>
      </c>
      <c r="D12" s="12">
        <v>0.496</v>
      </c>
      <c r="E12" s="12">
        <v>0.318</v>
      </c>
      <c r="F12" s="12">
        <v>5.6000000000000001E-2</v>
      </c>
      <c r="G12" s="12">
        <v>5.6000000000000001E-2</v>
      </c>
      <c r="H12" s="12">
        <f>(Table53[[#This Row],[Revenue]]-C13)/C13</f>
        <v>0.85542441521654133</v>
      </c>
    </row>
    <row r="13" spans="1:15">
      <c r="A13" s="1">
        <v>2024</v>
      </c>
      <c r="B13" s="1" t="s">
        <v>48</v>
      </c>
      <c r="C13" s="11">
        <v>1355630000</v>
      </c>
      <c r="D13" s="12">
        <v>0.498</v>
      </c>
      <c r="E13" s="12">
        <v>0.38700000000000001</v>
      </c>
      <c r="F13" s="12">
        <v>0.115</v>
      </c>
      <c r="G13" s="12">
        <v>0.12</v>
      </c>
      <c r="H13" s="12">
        <f>(Table53[[#This Row],[Revenue]]-C14)/C14</f>
        <v>2.8539909287761737E-2</v>
      </c>
    </row>
    <row r="14" spans="1:15">
      <c r="A14" s="1">
        <v>2023</v>
      </c>
      <c r="B14" s="1" t="s">
        <v>48</v>
      </c>
      <c r="C14" s="11">
        <v>1318014000</v>
      </c>
      <c r="D14" s="12">
        <v>0.52</v>
      </c>
      <c r="E14" s="12">
        <v>0.27800000000000002</v>
      </c>
      <c r="F14" s="12">
        <v>0.20200000000000001</v>
      </c>
      <c r="G14" s="12">
        <v>0.20499999999999999</v>
      </c>
      <c r="H14" s="12">
        <f>(Table53[[#This Row],[Revenue]]-C15)/C15</f>
        <v>1.0165329465547945</v>
      </c>
      <c r="K14" s="2"/>
      <c r="L14" s="2"/>
      <c r="M14" s="2"/>
      <c r="N14" s="2"/>
      <c r="O14" s="2"/>
    </row>
    <row r="15" spans="1:15">
      <c r="A15" s="1">
        <v>2022</v>
      </c>
      <c r="B15" s="1" t="s">
        <v>48</v>
      </c>
      <c r="C15" s="11">
        <v>653604000</v>
      </c>
      <c r="D15" s="12">
        <v>0.58599999999999997</v>
      </c>
      <c r="E15" s="12">
        <v>0.65600000000000003</v>
      </c>
      <c r="F15" s="12">
        <v>-0.24099999999999999</v>
      </c>
      <c r="G15" s="12">
        <v>-0.23899999999999999</v>
      </c>
      <c r="H15" s="12">
        <f>(Table53[[#This Row],[Revenue]]-C16)/C16</f>
        <v>1.0797398431931575</v>
      </c>
      <c r="K15" s="2"/>
      <c r="L15" s="2"/>
      <c r="M15" s="2"/>
      <c r="N15" s="2"/>
      <c r="O15" s="2"/>
    </row>
    <row r="16" spans="1:15">
      <c r="A16" s="1">
        <v>2021</v>
      </c>
      <c r="B16" s="1" t="s">
        <v>48</v>
      </c>
      <c r="C16" s="11">
        <v>314272000</v>
      </c>
      <c r="D16" s="12">
        <v>0.59199999999999997</v>
      </c>
      <c r="E16" s="12">
        <v>0.42099999999999999</v>
      </c>
      <c r="F16" s="12">
        <v>-1.2999999999999999E-2</v>
      </c>
      <c r="G16" s="12">
        <v>-1.0999999999999999E-2</v>
      </c>
      <c r="H16" s="12">
        <f>(Table53[[#This Row],[Revenue]]-C17)/C17</f>
        <v>1.4040512216391536</v>
      </c>
      <c r="K16" s="2"/>
      <c r="L16" s="2"/>
      <c r="M16" s="2"/>
      <c r="N16" s="2"/>
      <c r="O16" s="2"/>
    </row>
    <row r="17" spans="1:15">
      <c r="A17" s="1">
        <v>2020</v>
      </c>
      <c r="B17" s="1" t="s">
        <v>48</v>
      </c>
      <c r="C17" s="11">
        <v>130726000</v>
      </c>
      <c r="D17" s="12">
        <v>0.53400000000000003</v>
      </c>
      <c r="E17" s="12">
        <v>0.40600000000000003</v>
      </c>
      <c r="F17" s="12">
        <v>6.0999999999999999E-2</v>
      </c>
      <c r="G17" s="12">
        <v>6.0999999999999999E-2</v>
      </c>
      <c r="H17" s="12">
        <f>(Table53[[#This Row],[Revenue]]-C18)/C18</f>
        <v>0.73961421992702103</v>
      </c>
      <c r="K17" s="2"/>
      <c r="L17" s="2"/>
      <c r="M17" s="2"/>
      <c r="N17" s="2"/>
      <c r="O17" s="2"/>
    </row>
    <row r="18" spans="1:15">
      <c r="A18" s="1">
        <v>2019</v>
      </c>
      <c r="B18" s="1" t="s">
        <v>48</v>
      </c>
      <c r="C18" s="11">
        <v>75146546</v>
      </c>
      <c r="D18" s="12">
        <v>0.58299999999999996</v>
      </c>
      <c r="E18" s="12">
        <v>0.436</v>
      </c>
      <c r="F18" s="12">
        <v>-1.9E-2</v>
      </c>
      <c r="G18" s="12">
        <v>-7.0000000000000001E-3</v>
      </c>
      <c r="H18" s="12">
        <f>(Table53[[#This Row],[Revenue]]-C19)/C19</f>
        <v>0.42853330544191082</v>
      </c>
      <c r="K18" s="2"/>
      <c r="L18" s="2"/>
      <c r="M18" s="2"/>
      <c r="N18" s="2"/>
      <c r="O18" s="2"/>
    </row>
    <row r="19" spans="1:15">
      <c r="A19" s="1">
        <v>2018</v>
      </c>
      <c r="B19" s="1" t="s">
        <v>48</v>
      </c>
      <c r="C19" s="11">
        <v>52603986</v>
      </c>
      <c r="D19" s="12">
        <v>0.6</v>
      </c>
      <c r="E19" s="12">
        <v>0.60299999999999998</v>
      </c>
      <c r="F19" s="12">
        <v>-0.20200000000000001</v>
      </c>
      <c r="G19" s="12">
        <v>-0.20100000000000001</v>
      </c>
      <c r="H19" s="12">
        <f>(Table53[[#This Row],[Revenue]]-C20)/C20</f>
        <v>0.45459276921974257</v>
      </c>
      <c r="K19" s="2"/>
      <c r="L19" s="2"/>
      <c r="M19" s="2"/>
      <c r="N19" s="2"/>
      <c r="O19" s="2"/>
    </row>
    <row r="20" spans="1:15">
      <c r="A20" s="1">
        <v>2017</v>
      </c>
      <c r="B20" s="1" t="s">
        <v>48</v>
      </c>
      <c r="C20" s="11">
        <v>36164064</v>
      </c>
      <c r="D20" s="12">
        <v>0.57299999999999995</v>
      </c>
      <c r="E20" s="12">
        <v>0.65</v>
      </c>
      <c r="F20" s="12">
        <v>-0.223</v>
      </c>
      <c r="G20" s="12">
        <v>-0.223</v>
      </c>
      <c r="H20" s="12">
        <f>(Table53[[#This Row],[Revenue]]-C21)/C21</f>
        <v>0.5888621330634094</v>
      </c>
    </row>
    <row r="21" spans="1:15">
      <c r="A21" s="1">
        <v>2016</v>
      </c>
      <c r="B21" s="1" t="s">
        <v>48</v>
      </c>
      <c r="C21" s="11">
        <v>22760983</v>
      </c>
      <c r="D21" s="12">
        <v>0.57299999999999995</v>
      </c>
      <c r="E21" s="12">
        <v>0.55200000000000005</v>
      </c>
      <c r="F21" s="12">
        <v>-0.125</v>
      </c>
      <c r="G21" s="12">
        <v>-0.124</v>
      </c>
      <c r="H21" s="12">
        <f>(22760983-17217944)/17217944</f>
        <v>0.32193384994166552</v>
      </c>
    </row>
    <row r="24" spans="1:15">
      <c r="H24" s="51" t="s">
        <v>97</v>
      </c>
      <c r="I24" s="51"/>
      <c r="J24" s="51"/>
      <c r="K24" s="51"/>
    </row>
    <row r="25" spans="1:15">
      <c r="H25" s="51"/>
      <c r="I25" s="51"/>
      <c r="J25" s="51"/>
      <c r="K25" s="51"/>
    </row>
    <row r="26" spans="1:15">
      <c r="H26" s="51"/>
      <c r="I26" s="51"/>
      <c r="J26" s="51"/>
      <c r="K26" s="51"/>
    </row>
    <row r="27" spans="1:15">
      <c r="H27" s="51"/>
      <c r="I27" s="51"/>
      <c r="J27" s="51"/>
      <c r="K27" s="51"/>
    </row>
    <row r="28" spans="1:15">
      <c r="H28" s="51"/>
      <c r="I28" s="51"/>
      <c r="J28" s="51"/>
      <c r="K28" s="51"/>
    </row>
    <row r="29" spans="1:15">
      <c r="H29" s="51"/>
      <c r="I29" s="51"/>
      <c r="J29" s="51"/>
      <c r="K29" s="51"/>
    </row>
    <row r="30" spans="1:15">
      <c r="H30" s="51"/>
      <c r="I30" s="51"/>
      <c r="J30" s="51"/>
      <c r="K30" s="51"/>
      <c r="M30" s="51" t="s">
        <v>59</v>
      </c>
      <c r="N30" s="51"/>
      <c r="O30" s="51"/>
    </row>
    <row r="31" spans="1:15">
      <c r="H31" s="51"/>
      <c r="I31" s="51"/>
      <c r="J31" s="51"/>
      <c r="K31" s="51"/>
      <c r="M31" s="51"/>
      <c r="N31" s="51"/>
      <c r="O31" s="51"/>
    </row>
    <row r="32" spans="1:15">
      <c r="H32" s="51"/>
      <c r="I32" s="51"/>
      <c r="J32" s="51"/>
      <c r="K32" s="51"/>
      <c r="M32" s="51"/>
      <c r="N32" s="51"/>
      <c r="O32" s="51"/>
    </row>
    <row r="33" spans="7:15">
      <c r="M33" s="51"/>
      <c r="N33" s="51"/>
      <c r="O33" s="51"/>
    </row>
    <row r="34" spans="7:15">
      <c r="H34" s="51" t="s">
        <v>58</v>
      </c>
      <c r="I34" s="51"/>
      <c r="J34" s="51"/>
      <c r="K34" s="51"/>
      <c r="M34" s="51"/>
      <c r="N34" s="51"/>
      <c r="O34" s="51"/>
    </row>
    <row r="35" spans="7:15">
      <c r="H35" s="51"/>
      <c r="I35" s="51"/>
      <c r="J35" s="51"/>
      <c r="K35" s="51"/>
      <c r="M35" s="51"/>
      <c r="N35" s="51"/>
      <c r="O35" s="51"/>
    </row>
    <row r="36" spans="7:15">
      <c r="H36" s="51"/>
      <c r="I36" s="51"/>
      <c r="J36" s="51"/>
      <c r="K36" s="51"/>
    </row>
    <row r="37" spans="7:15">
      <c r="H37" s="51"/>
      <c r="I37" s="51"/>
      <c r="J37" s="51"/>
      <c r="K37" s="51"/>
    </row>
    <row r="38" spans="7:15">
      <c r="H38" s="51"/>
      <c r="I38" s="51"/>
      <c r="J38" s="51"/>
      <c r="K38" s="51"/>
    </row>
    <row r="39" spans="7:15">
      <c r="H39" s="51"/>
      <c r="I39" s="51"/>
      <c r="J39" s="51"/>
      <c r="K39" s="51"/>
    </row>
    <row r="40" spans="7:15">
      <c r="H40" s="51"/>
      <c r="I40" s="51"/>
      <c r="J40" s="51"/>
      <c r="K40" s="51"/>
    </row>
    <row r="45" spans="7:15">
      <c r="G45" s="51" t="s">
        <v>98</v>
      </c>
      <c r="H45" s="51"/>
      <c r="I45" s="51"/>
      <c r="J45" s="51"/>
      <c r="K45" s="51"/>
    </row>
    <row r="46" spans="7:15">
      <c r="G46" s="51"/>
      <c r="H46" s="51"/>
      <c r="I46" s="51"/>
      <c r="J46" s="51"/>
      <c r="K46" s="51"/>
    </row>
    <row r="47" spans="7:15">
      <c r="G47" s="51"/>
      <c r="H47" s="51"/>
      <c r="I47" s="51"/>
      <c r="J47" s="51"/>
      <c r="K47" s="51"/>
    </row>
    <row r="48" spans="7:15">
      <c r="G48" s="51"/>
      <c r="H48" s="51"/>
      <c r="I48" s="51"/>
      <c r="J48" s="51"/>
      <c r="K48" s="51"/>
    </row>
    <row r="49" spans="7:11">
      <c r="G49" s="51"/>
      <c r="H49" s="51"/>
      <c r="I49" s="51"/>
      <c r="J49" s="51"/>
      <c r="K49" s="51"/>
    </row>
    <row r="50" spans="7:11">
      <c r="G50" s="51"/>
      <c r="H50" s="51"/>
      <c r="I50" s="51"/>
      <c r="J50" s="51"/>
      <c r="K50" s="51"/>
    </row>
    <row r="52" spans="7:11">
      <c r="G52" s="51" t="s">
        <v>99</v>
      </c>
      <c r="H52" s="51"/>
      <c r="I52" s="51"/>
      <c r="J52" s="51"/>
      <c r="K52" s="51"/>
    </row>
    <row r="53" spans="7:11">
      <c r="G53" s="51"/>
      <c r="H53" s="51"/>
      <c r="I53" s="51"/>
      <c r="J53" s="51"/>
      <c r="K53" s="51"/>
    </row>
    <row r="54" spans="7:11">
      <c r="G54" s="51"/>
      <c r="H54" s="51"/>
      <c r="I54" s="51"/>
      <c r="J54" s="51"/>
      <c r="K54" s="51"/>
    </row>
    <row r="55" spans="7:11">
      <c r="G55" s="51"/>
      <c r="H55" s="51"/>
      <c r="I55" s="51"/>
      <c r="J55" s="51"/>
      <c r="K55" s="51"/>
    </row>
    <row r="56" spans="7:11">
      <c r="G56" s="51"/>
      <c r="H56" s="51"/>
      <c r="I56" s="51"/>
      <c r="J56" s="51"/>
      <c r="K56" s="51"/>
    </row>
    <row r="57" spans="7:11">
      <c r="G57" s="51"/>
      <c r="H57" s="51"/>
      <c r="I57" s="51"/>
      <c r="J57" s="51"/>
      <c r="K57" s="51"/>
    </row>
    <row r="59" spans="7:11">
      <c r="G59" s="51" t="s">
        <v>100</v>
      </c>
      <c r="H59" s="51"/>
      <c r="I59" s="51"/>
      <c r="J59" s="51"/>
      <c r="K59" s="51"/>
    </row>
    <row r="60" spans="7:11">
      <c r="G60" s="51"/>
      <c r="H60" s="51"/>
      <c r="I60" s="51"/>
      <c r="J60" s="51"/>
      <c r="K60" s="51"/>
    </row>
    <row r="61" spans="7:11">
      <c r="G61" s="51"/>
      <c r="H61" s="51"/>
      <c r="I61" s="51"/>
      <c r="J61" s="51"/>
      <c r="K61" s="51"/>
    </row>
    <row r="62" spans="7:11">
      <c r="G62" s="51"/>
      <c r="H62" s="51"/>
      <c r="I62" s="51"/>
      <c r="J62" s="51"/>
      <c r="K62" s="51"/>
    </row>
    <row r="63" spans="7:11">
      <c r="G63" s="51"/>
      <c r="H63" s="51"/>
      <c r="I63" s="51"/>
      <c r="J63" s="51"/>
      <c r="K63" s="51"/>
    </row>
  </sheetData>
  <mergeCells count="6">
    <mergeCell ref="G59:K63"/>
    <mergeCell ref="H24:K32"/>
    <mergeCell ref="H34:K40"/>
    <mergeCell ref="M30:O35"/>
    <mergeCell ref="G45:K50"/>
    <mergeCell ref="G52:K57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3182-D09C-41A9-B24F-8E47E5B6D9EA}">
  <dimension ref="A1:AB118"/>
  <sheetViews>
    <sheetView zoomScale="70" zoomScaleNormal="70" workbookViewId="0">
      <selection activeCell="E81" sqref="E81"/>
    </sheetView>
  </sheetViews>
  <sheetFormatPr defaultRowHeight="14.4"/>
  <cols>
    <col min="1" max="1" width="9.5546875" bestFit="1" customWidth="1"/>
    <col min="2" max="2" width="18" customWidth="1"/>
    <col min="3" max="3" width="18.6640625" bestFit="1" customWidth="1"/>
    <col min="4" max="4" width="14.44140625" bestFit="1" customWidth="1"/>
    <col min="5" max="5" width="18" customWidth="1"/>
    <col min="6" max="6" width="16.109375" customWidth="1"/>
    <col min="7" max="7" width="13.44140625" bestFit="1" customWidth="1"/>
    <col min="8" max="8" width="15.77734375" customWidth="1"/>
    <col min="10" max="10" width="18" bestFit="1" customWidth="1"/>
    <col min="11" max="11" width="16.44140625" bestFit="1" customWidth="1"/>
    <col min="12" max="12" width="14.5546875" bestFit="1" customWidth="1"/>
    <col min="13" max="13" width="12.6640625" bestFit="1" customWidth="1"/>
    <col min="14" max="14" width="12" bestFit="1" customWidth="1"/>
    <col min="15" max="15" width="13.44140625" bestFit="1" customWidth="1"/>
    <col min="16" max="18" width="12.6640625" bestFit="1" customWidth="1"/>
  </cols>
  <sheetData>
    <row r="1" spans="1:19" ht="28.8">
      <c r="A1" s="6" t="s">
        <v>0</v>
      </c>
      <c r="B1" s="6" t="s">
        <v>45</v>
      </c>
      <c r="C1" s="6" t="s">
        <v>41</v>
      </c>
      <c r="D1" s="6" t="s">
        <v>47</v>
      </c>
      <c r="E1" s="6" t="s">
        <v>9</v>
      </c>
      <c r="F1" s="6" t="s">
        <v>10</v>
      </c>
      <c r="G1" s="6" t="s">
        <v>49</v>
      </c>
      <c r="H1" s="6" t="s">
        <v>46</v>
      </c>
    </row>
    <row r="2" spans="1:19">
      <c r="A2" s="1">
        <v>2025</v>
      </c>
      <c r="B2" s="1" t="s">
        <v>48</v>
      </c>
      <c r="C2" s="12">
        <v>5.6000000000000001E-2</v>
      </c>
      <c r="D2" s="12">
        <v>5.6000000000000001E-2</v>
      </c>
      <c r="E2" s="12">
        <v>0.496</v>
      </c>
      <c r="F2" s="12">
        <v>0.318</v>
      </c>
      <c r="G2" s="12">
        <f>(Table538[[#This Row],[Revenue]]-H3)/H3</f>
        <v>0.85542441521654133</v>
      </c>
      <c r="H2" s="11">
        <v>2515269000</v>
      </c>
      <c r="J2" s="36" t="s">
        <v>61</v>
      </c>
      <c r="K2" s="36" t="s">
        <v>95</v>
      </c>
    </row>
    <row r="3" spans="1:19" ht="15" thickBot="1">
      <c r="A3" s="1">
        <v>2024</v>
      </c>
      <c r="B3" s="1" t="s">
        <v>48</v>
      </c>
      <c r="C3" s="12">
        <v>0.12</v>
      </c>
      <c r="D3" s="12">
        <v>0.115</v>
      </c>
      <c r="E3" s="12">
        <v>0.498</v>
      </c>
      <c r="F3" s="12">
        <v>0.38700000000000001</v>
      </c>
      <c r="G3" s="12">
        <f>(Table538[[#This Row],[Revenue]]-H4)/H4</f>
        <v>2.8539909287761737E-2</v>
      </c>
      <c r="H3" s="11">
        <v>1355630000</v>
      </c>
      <c r="M3" s="16"/>
    </row>
    <row r="4" spans="1:19">
      <c r="A4" s="1">
        <v>2023</v>
      </c>
      <c r="B4" s="1" t="s">
        <v>48</v>
      </c>
      <c r="C4" s="12">
        <v>0.20499999999999999</v>
      </c>
      <c r="D4" s="12">
        <v>0.20200000000000001</v>
      </c>
      <c r="E4" s="12">
        <v>0.52</v>
      </c>
      <c r="F4" s="12">
        <v>0.27800000000000002</v>
      </c>
      <c r="G4" s="12">
        <f>(Table538[[#This Row],[Revenue]]-H5)/H5</f>
        <v>1.0165329465547945</v>
      </c>
      <c r="H4" s="11">
        <v>1318014000</v>
      </c>
      <c r="J4" s="34" t="s">
        <v>62</v>
      </c>
      <c r="K4" s="34"/>
      <c r="Q4" s="52" t="s">
        <v>94</v>
      </c>
      <c r="R4" s="52"/>
      <c r="S4" s="52"/>
    </row>
    <row r="5" spans="1:19">
      <c r="A5" s="1">
        <v>2022</v>
      </c>
      <c r="B5" s="1" t="s">
        <v>48</v>
      </c>
      <c r="C5" s="12">
        <v>-0.23899999999999999</v>
      </c>
      <c r="D5" s="12">
        <v>-0.24099999999999999</v>
      </c>
      <c r="E5" s="12">
        <v>0.58599999999999997</v>
      </c>
      <c r="F5" s="12">
        <v>0.65600000000000003</v>
      </c>
      <c r="G5" s="12">
        <f>(Table538[[#This Row],[Revenue]]-H6)/H6</f>
        <v>1.0797398431931575</v>
      </c>
      <c r="H5" s="11">
        <v>653604000</v>
      </c>
      <c r="J5" t="s">
        <v>63</v>
      </c>
      <c r="K5">
        <v>0.99109074309577339</v>
      </c>
      <c r="Q5" s="52"/>
      <c r="R5" s="52"/>
      <c r="S5" s="52"/>
    </row>
    <row r="6" spans="1:19">
      <c r="A6" s="1">
        <v>2021</v>
      </c>
      <c r="B6" s="1" t="s">
        <v>48</v>
      </c>
      <c r="C6" s="12">
        <v>-1.0999999999999999E-2</v>
      </c>
      <c r="D6" s="12">
        <v>-1.2999999999999999E-2</v>
      </c>
      <c r="E6" s="12">
        <v>0.59199999999999997</v>
      </c>
      <c r="F6" s="12">
        <v>0.42099999999999999</v>
      </c>
      <c r="G6" s="12">
        <f>(Table538[[#This Row],[Revenue]]-H7)/H7</f>
        <v>1.4040512216391536</v>
      </c>
      <c r="H6" s="11">
        <v>314272000</v>
      </c>
      <c r="J6" t="s">
        <v>64</v>
      </c>
      <c r="K6">
        <v>0.98226086105013233</v>
      </c>
      <c r="Q6" s="52"/>
      <c r="R6" s="52"/>
      <c r="S6" s="52"/>
    </row>
    <row r="7" spans="1:19">
      <c r="A7" s="1">
        <v>2020</v>
      </c>
      <c r="B7" s="1" t="s">
        <v>48</v>
      </c>
      <c r="C7" s="12">
        <v>6.0999999999999999E-2</v>
      </c>
      <c r="D7" s="12">
        <v>6.0999999999999999E-2</v>
      </c>
      <c r="E7" s="12">
        <v>0.53400000000000003</v>
      </c>
      <c r="F7" s="12">
        <v>0.40600000000000003</v>
      </c>
      <c r="G7" s="12">
        <f>(Table538[[#This Row],[Revenue]]-H8)/H8</f>
        <v>0.73961421992702103</v>
      </c>
      <c r="H7" s="11">
        <v>130726000</v>
      </c>
      <c r="J7" t="s">
        <v>65</v>
      </c>
      <c r="K7">
        <v>0.97893477249703209</v>
      </c>
      <c r="Q7" s="52"/>
      <c r="R7" s="52"/>
      <c r="S7" s="52"/>
    </row>
    <row r="8" spans="1:19">
      <c r="A8" s="1">
        <v>2019</v>
      </c>
      <c r="B8" s="1" t="s">
        <v>48</v>
      </c>
      <c r="C8" s="12">
        <v>-7.0000000000000001E-3</v>
      </c>
      <c r="D8" s="12">
        <v>-1.9E-2</v>
      </c>
      <c r="E8" s="12">
        <v>0.58299999999999996</v>
      </c>
      <c r="F8" s="12">
        <v>0.436</v>
      </c>
      <c r="G8" s="12">
        <f>(Table538[[#This Row],[Revenue]]-H9)/H9</f>
        <v>0.42853330544191082</v>
      </c>
      <c r="H8" s="11">
        <v>75146546</v>
      </c>
      <c r="J8" t="s">
        <v>66</v>
      </c>
      <c r="K8">
        <v>3.1319770759492729E-2</v>
      </c>
    </row>
    <row r="9" spans="1:19" ht="15" thickBot="1">
      <c r="A9" s="1">
        <v>2018</v>
      </c>
      <c r="B9" s="1" t="s">
        <v>48</v>
      </c>
      <c r="C9" s="12">
        <v>-0.20100000000000001</v>
      </c>
      <c r="D9" s="12">
        <v>-0.20200000000000001</v>
      </c>
      <c r="E9" s="12">
        <v>0.6</v>
      </c>
      <c r="F9" s="12">
        <v>0.60299999999999998</v>
      </c>
      <c r="G9" s="12">
        <f>(Table538[[#This Row],[Revenue]]-H10)/H10</f>
        <v>0.45459276921974257</v>
      </c>
      <c r="H9" s="11">
        <v>52603986</v>
      </c>
      <c r="J9" s="32" t="s">
        <v>67</v>
      </c>
      <c r="K9" s="32">
        <v>20</v>
      </c>
    </row>
    <row r="10" spans="1:19">
      <c r="A10" s="1">
        <v>2017</v>
      </c>
      <c r="B10" s="1" t="s">
        <v>48</v>
      </c>
      <c r="C10" s="12">
        <v>-0.223</v>
      </c>
      <c r="D10" s="12">
        <v>-0.223</v>
      </c>
      <c r="E10" s="12">
        <v>0.57299999999999995</v>
      </c>
      <c r="F10" s="12">
        <v>0.65</v>
      </c>
      <c r="G10" s="12">
        <f>(Table538[[#This Row],[Revenue]]-H11)/H11</f>
        <v>0.5888621330634094</v>
      </c>
      <c r="H10" s="11">
        <v>36164064</v>
      </c>
    </row>
    <row r="11" spans="1:19" ht="15" thickBot="1">
      <c r="A11" s="1">
        <v>2016</v>
      </c>
      <c r="B11" s="1" t="s">
        <v>48</v>
      </c>
      <c r="C11" s="12">
        <v>-0.124</v>
      </c>
      <c r="D11" s="12">
        <v>-0.125</v>
      </c>
      <c r="E11" s="12">
        <v>0.57299999999999995</v>
      </c>
      <c r="F11" s="12">
        <v>0.55200000000000005</v>
      </c>
      <c r="G11" s="12">
        <f>(22760983-17217944)/17217944</f>
        <v>0.32193384994166552</v>
      </c>
      <c r="H11" s="11">
        <v>22760983</v>
      </c>
      <c r="J11" t="s">
        <v>68</v>
      </c>
    </row>
    <row r="12" spans="1:19">
      <c r="A12" s="1">
        <v>2025</v>
      </c>
      <c r="B12" s="1" t="s">
        <v>40</v>
      </c>
      <c r="C12" s="12">
        <v>0.30499999999999999</v>
      </c>
      <c r="D12" s="12">
        <v>0.29199999999999998</v>
      </c>
      <c r="E12" s="12">
        <v>0.442</v>
      </c>
      <c r="F12" s="12">
        <v>0.26700000000000002</v>
      </c>
      <c r="G12" s="12">
        <f>(Table538[[#This Row],[Revenue]]-H13)/H13</f>
        <v>0.10698854045979898</v>
      </c>
      <c r="H12" s="11">
        <v>8294343000</v>
      </c>
      <c r="J12" s="33"/>
      <c r="K12" s="33" t="s">
        <v>73</v>
      </c>
      <c r="L12" s="33" t="s">
        <v>74</v>
      </c>
      <c r="M12" s="33" t="s">
        <v>75</v>
      </c>
      <c r="N12" s="33" t="s">
        <v>76</v>
      </c>
      <c r="O12" s="33" t="s">
        <v>77</v>
      </c>
    </row>
    <row r="13" spans="1:19">
      <c r="A13" s="1">
        <v>2024</v>
      </c>
      <c r="B13" s="1" t="s">
        <v>40</v>
      </c>
      <c r="C13" s="12">
        <v>0.26800000000000002</v>
      </c>
      <c r="D13" s="12">
        <v>0.25800000000000001</v>
      </c>
      <c r="E13" s="12">
        <v>0.46</v>
      </c>
      <c r="F13" s="12">
        <v>0.28299999999999997</v>
      </c>
      <c r="G13" s="12">
        <f>(Table538[[#This Row],[Revenue]]-H14)/H14</f>
        <v>4.9395051307228953E-2</v>
      </c>
      <c r="H13" s="11">
        <v>7492709000</v>
      </c>
      <c r="J13" t="s">
        <v>69</v>
      </c>
      <c r="K13">
        <v>3</v>
      </c>
      <c r="L13">
        <v>0.86906335135316515</v>
      </c>
      <c r="M13">
        <v>0.28968778378438836</v>
      </c>
      <c r="N13">
        <v>295.320117119126</v>
      </c>
      <c r="O13">
        <v>3.2475538510274531E-14</v>
      </c>
    </row>
    <row r="14" spans="1:19">
      <c r="A14" s="1">
        <v>2023</v>
      </c>
      <c r="B14" s="1" t="s">
        <v>40</v>
      </c>
      <c r="C14" s="12">
        <v>0.28299999999999997</v>
      </c>
      <c r="D14" s="12">
        <v>0.27400000000000002</v>
      </c>
      <c r="E14" s="12">
        <v>0.46899999999999997</v>
      </c>
      <c r="F14" s="12">
        <v>0.25800000000000001</v>
      </c>
      <c r="G14" s="12">
        <f>(Table538[[#This Row],[Revenue]]-H15)/H15</f>
        <v>0.13135326134319963</v>
      </c>
      <c r="H14" s="11">
        <v>7140027000</v>
      </c>
      <c r="J14" t="s">
        <v>70</v>
      </c>
      <c r="K14">
        <v>16</v>
      </c>
      <c r="L14">
        <v>1.5694848646834816E-2</v>
      </c>
      <c r="M14">
        <v>9.8092804042717598E-4</v>
      </c>
    </row>
    <row r="15" spans="1:19" ht="15" thickBot="1">
      <c r="A15" s="1">
        <v>2022</v>
      </c>
      <c r="B15" s="1" t="s">
        <v>40</v>
      </c>
      <c r="C15" s="12">
        <v>0.26100000000000001</v>
      </c>
      <c r="D15" s="12">
        <v>0.251</v>
      </c>
      <c r="E15" s="12">
        <v>0.497</v>
      </c>
      <c r="F15" s="12">
        <v>0.252</v>
      </c>
      <c r="G15" s="12">
        <f>(Table538[[#This Row],[Revenue]]-H16)/H16</f>
        <v>0.13890075923709594</v>
      </c>
      <c r="H15" s="11">
        <v>6311050000</v>
      </c>
      <c r="J15" s="32" t="s">
        <v>71</v>
      </c>
      <c r="K15" s="32">
        <v>19</v>
      </c>
      <c r="L15" s="32">
        <v>0.88475819999999994</v>
      </c>
      <c r="M15" s="32"/>
      <c r="N15" s="32"/>
      <c r="O15" s="32"/>
    </row>
    <row r="16" spans="1:19" ht="15" thickBot="1">
      <c r="A16" s="1">
        <v>2021</v>
      </c>
      <c r="B16" s="1" t="s">
        <v>40</v>
      </c>
      <c r="C16" s="12">
        <v>0.33300000000000002</v>
      </c>
      <c r="D16" s="12">
        <v>0.32400000000000001</v>
      </c>
      <c r="E16" s="12">
        <v>0.439</v>
      </c>
      <c r="F16" s="12">
        <v>0.23699999999999999</v>
      </c>
      <c r="G16" s="12">
        <f>(Table538[[#This Row],[Revenue]]-H17)/H17</f>
        <v>0.20499852347586395</v>
      </c>
      <c r="H16" s="11">
        <v>5541352000</v>
      </c>
    </row>
    <row r="17" spans="1:18">
      <c r="A17" s="1">
        <v>2020</v>
      </c>
      <c r="B17" s="1" t="s">
        <v>40</v>
      </c>
      <c r="C17" s="12">
        <v>0.36799999999999999</v>
      </c>
      <c r="D17" s="12">
        <v>0.35499999999999998</v>
      </c>
      <c r="E17" s="12">
        <v>0.40799999999999997</v>
      </c>
      <c r="F17" s="12">
        <v>0.23699999999999999</v>
      </c>
      <c r="G17" s="12">
        <f>(Table538[[#This Row],[Revenue]]-H18)/H18</f>
        <v>9.4700342956932929E-2</v>
      </c>
      <c r="H17" s="11">
        <v>4598638000</v>
      </c>
      <c r="J17" s="33"/>
      <c r="K17" s="33" t="s">
        <v>78</v>
      </c>
      <c r="L17" s="33" t="s">
        <v>66</v>
      </c>
      <c r="M17" s="33" t="s">
        <v>79</v>
      </c>
      <c r="N17" s="33" t="s">
        <v>80</v>
      </c>
      <c r="O17" s="33" t="s">
        <v>81</v>
      </c>
      <c r="P17" s="33" t="s">
        <v>82</v>
      </c>
      <c r="Q17" s="33" t="s">
        <v>83</v>
      </c>
      <c r="R17" s="33" t="s">
        <v>84</v>
      </c>
    </row>
    <row r="18" spans="1:18">
      <c r="A18" s="1">
        <v>2019</v>
      </c>
      <c r="B18" s="1" t="s">
        <v>40</v>
      </c>
      <c r="C18" s="12">
        <v>0.34799999999999998</v>
      </c>
      <c r="D18" s="12">
        <v>0.33400000000000002</v>
      </c>
      <c r="E18" s="12">
        <v>0.4</v>
      </c>
      <c r="F18" s="12">
        <v>0.26600000000000001</v>
      </c>
      <c r="G18" s="12">
        <f>(Table538[[#This Row],[Revenue]]-H19)/H19</f>
        <v>0.10339298110965509</v>
      </c>
      <c r="H18" s="11">
        <v>4200819000</v>
      </c>
      <c r="J18" t="s">
        <v>72</v>
      </c>
      <c r="K18">
        <v>0.99775919997842744</v>
      </c>
      <c r="L18">
        <v>6.2675544628635213E-2</v>
      </c>
      <c r="M18">
        <v>15.919434061408555</v>
      </c>
      <c r="N18">
        <v>3.121002524949398E-11</v>
      </c>
      <c r="O18">
        <v>0.86489298078860544</v>
      </c>
      <c r="P18">
        <v>1.1306254191682494</v>
      </c>
      <c r="Q18">
        <v>0.86489298078860544</v>
      </c>
      <c r="R18">
        <v>1.1306254191682494</v>
      </c>
    </row>
    <row r="19" spans="1:18">
      <c r="A19" s="1">
        <v>2018</v>
      </c>
      <c r="B19" s="1" t="s">
        <v>40</v>
      </c>
      <c r="C19" s="12">
        <v>0.35199999999999998</v>
      </c>
      <c r="D19" s="12">
        <v>0.33700000000000002</v>
      </c>
      <c r="E19" s="12">
        <v>0.39700000000000002</v>
      </c>
      <c r="F19" s="12">
        <v>0.26600000000000001</v>
      </c>
      <c r="G19" s="12">
        <f>(Table538[[#This Row],[Revenue]]-H20)/H20</f>
        <v>0.13004812936603696</v>
      </c>
      <c r="H19" s="11">
        <v>3807183000</v>
      </c>
      <c r="J19" t="s">
        <v>9</v>
      </c>
      <c r="K19">
        <v>-0.98824236425533496</v>
      </c>
      <c r="L19">
        <v>0.1776253546668761</v>
      </c>
      <c r="M19">
        <v>-5.563633446974471</v>
      </c>
      <c r="N19">
        <v>4.2795000407175405E-5</v>
      </c>
      <c r="O19">
        <v>-1.3647912948897003</v>
      </c>
      <c r="P19">
        <v>-0.61169343362096917</v>
      </c>
      <c r="Q19">
        <v>-1.3647912948897003</v>
      </c>
      <c r="R19">
        <v>-0.61169343362096917</v>
      </c>
    </row>
    <row r="20" spans="1:18">
      <c r="A20" s="1">
        <v>2017</v>
      </c>
      <c r="B20" s="1" t="s">
        <v>40</v>
      </c>
      <c r="C20" s="12">
        <v>0.37</v>
      </c>
      <c r="D20" s="12">
        <v>0.35599999999999998</v>
      </c>
      <c r="E20" s="12">
        <v>0.36499999999999999</v>
      </c>
      <c r="F20" s="12">
        <v>0.27900000000000003</v>
      </c>
      <c r="G20" s="12">
        <f>(Table538[[#This Row],[Revenue]]-H21)/H21</f>
        <v>0.10482479627912834</v>
      </c>
      <c r="H20" s="11">
        <v>3369045000</v>
      </c>
      <c r="J20" t="s">
        <v>10</v>
      </c>
      <c r="K20">
        <v>-0.96775151273394178</v>
      </c>
      <c r="L20">
        <v>8.3799177357786511E-2</v>
      </c>
      <c r="M20">
        <v>-11.548460775480626</v>
      </c>
      <c r="N20">
        <v>3.5790882358271479E-9</v>
      </c>
      <c r="O20">
        <v>-1.1453978328850951</v>
      </c>
      <c r="P20">
        <v>-0.79010519258278833</v>
      </c>
      <c r="Q20">
        <v>-1.1453978328850951</v>
      </c>
      <c r="R20">
        <v>-0.79010519258278833</v>
      </c>
    </row>
    <row r="21" spans="1:18" ht="15" thickBot="1">
      <c r="A21" s="1">
        <v>2016</v>
      </c>
      <c r="B21" s="1" t="s">
        <v>40</v>
      </c>
      <c r="C21" s="12">
        <v>0.36899999999999999</v>
      </c>
      <c r="D21" s="12">
        <v>0.35599999999999998</v>
      </c>
      <c r="E21" s="12">
        <v>0.36299999999999999</v>
      </c>
      <c r="F21" s="12">
        <v>0.28100000000000003</v>
      </c>
      <c r="G21" s="12">
        <f>(3049393000-2722564000)/2722564000</f>
        <v>0.12004456093594126</v>
      </c>
      <c r="H21" s="11">
        <v>3049393000</v>
      </c>
      <c r="J21" s="32" t="s">
        <v>49</v>
      </c>
      <c r="K21" s="32">
        <v>-3.5153248820671744E-2</v>
      </c>
      <c r="L21" s="32">
        <v>2.3701297956680023E-2</v>
      </c>
      <c r="M21" s="32">
        <v>-1.4831782160168185</v>
      </c>
      <c r="N21" s="32">
        <v>0.15745698885646375</v>
      </c>
      <c r="O21" s="32">
        <v>-8.5397755957459631E-2</v>
      </c>
      <c r="P21" s="32">
        <v>1.5091258316116143E-2</v>
      </c>
      <c r="Q21" s="32">
        <v>-8.5397755957459631E-2</v>
      </c>
      <c r="R21" s="32">
        <v>1.5091258316116143E-2</v>
      </c>
    </row>
    <row r="23" spans="1:18">
      <c r="K23" t="s">
        <v>85</v>
      </c>
    </row>
    <row r="24" spans="1:18">
      <c r="K24" t="s">
        <v>86</v>
      </c>
    </row>
    <row r="25" spans="1:18">
      <c r="K25" t="s">
        <v>87</v>
      </c>
    </row>
    <row r="26" spans="1:18">
      <c r="K26" t="s">
        <v>88</v>
      </c>
    </row>
    <row r="27" spans="1:18">
      <c r="K27" t="s">
        <v>89</v>
      </c>
    </row>
    <row r="28" spans="1:18">
      <c r="K28" t="s">
        <v>90</v>
      </c>
    </row>
    <row r="29" spans="1:18">
      <c r="K29" t="s">
        <v>91</v>
      </c>
    </row>
    <row r="30" spans="1:18">
      <c r="K30" t="s">
        <v>92</v>
      </c>
    </row>
    <row r="31" spans="1:18">
      <c r="K31" s="35" t="s">
        <v>93</v>
      </c>
    </row>
    <row r="35" spans="3:28">
      <c r="J35" t="s">
        <v>61</v>
      </c>
      <c r="K35" t="s">
        <v>40</v>
      </c>
    </row>
    <row r="36" spans="3:28" ht="15" thickBot="1"/>
    <row r="37" spans="3:28">
      <c r="J37" s="34" t="s">
        <v>62</v>
      </c>
      <c r="K37" s="34"/>
    </row>
    <row r="38" spans="3:28">
      <c r="C38" s="53" t="s">
        <v>96</v>
      </c>
      <c r="D38" s="53"/>
      <c r="E38" s="53"/>
      <c r="F38" s="53"/>
      <c r="G38" s="36"/>
      <c r="H38" s="36"/>
      <c r="I38" s="36"/>
      <c r="J38" s="36" t="s">
        <v>63</v>
      </c>
      <c r="K38" s="36">
        <v>0.9995583082792896</v>
      </c>
    </row>
    <row r="39" spans="3:28">
      <c r="C39" s="53"/>
      <c r="D39" s="53"/>
      <c r="E39" s="53"/>
      <c r="F39" s="53"/>
      <c r="J39" t="s">
        <v>64</v>
      </c>
      <c r="K39">
        <v>0.99911681165015531</v>
      </c>
      <c r="T39" s="51" t="s">
        <v>103</v>
      </c>
      <c r="U39" s="51"/>
      <c r="V39" s="51"/>
      <c r="W39" s="51"/>
      <c r="X39" s="51"/>
      <c r="Y39" s="51"/>
      <c r="Z39" s="51"/>
      <c r="AA39" s="51"/>
      <c r="AB39" s="51"/>
    </row>
    <row r="40" spans="3:28">
      <c r="C40" s="53"/>
      <c r="D40" s="53"/>
      <c r="E40" s="53"/>
      <c r="F40" s="53"/>
      <c r="J40" t="s">
        <v>65</v>
      </c>
      <c r="K40">
        <v>0.99867521747523291</v>
      </c>
      <c r="T40" s="51"/>
      <c r="U40" s="51"/>
      <c r="V40" s="51"/>
      <c r="W40" s="51"/>
      <c r="X40" s="51"/>
      <c r="Y40" s="51"/>
      <c r="Z40" s="51"/>
      <c r="AA40" s="51"/>
      <c r="AB40" s="51"/>
    </row>
    <row r="41" spans="3:28">
      <c r="C41" s="53"/>
      <c r="D41" s="53"/>
      <c r="E41" s="53"/>
      <c r="F41" s="53"/>
      <c r="J41" t="s">
        <v>66</v>
      </c>
      <c r="K41">
        <v>1.564864728277951E-3</v>
      </c>
      <c r="T41" s="51"/>
      <c r="U41" s="51"/>
      <c r="V41" s="51"/>
      <c r="W41" s="51"/>
      <c r="X41" s="51"/>
      <c r="Y41" s="51"/>
      <c r="Z41" s="51"/>
      <c r="AA41" s="51"/>
      <c r="AB41" s="51"/>
    </row>
    <row r="42" spans="3:28" ht="15" thickBot="1">
      <c r="C42" s="53"/>
      <c r="D42" s="53"/>
      <c r="E42" s="53"/>
      <c r="F42" s="53"/>
      <c r="J42" s="32" t="s">
        <v>67</v>
      </c>
      <c r="K42" s="32">
        <v>10</v>
      </c>
      <c r="T42" s="51"/>
      <c r="U42" s="51"/>
      <c r="V42" s="51"/>
      <c r="W42" s="51"/>
      <c r="X42" s="51"/>
      <c r="Y42" s="51"/>
      <c r="Z42" s="51"/>
      <c r="AA42" s="51"/>
      <c r="AB42" s="51"/>
    </row>
    <row r="43" spans="3:28">
      <c r="T43" s="51"/>
      <c r="U43" s="51"/>
      <c r="V43" s="51"/>
      <c r="W43" s="51"/>
      <c r="X43" s="51"/>
      <c r="Y43" s="51"/>
      <c r="Z43" s="51"/>
      <c r="AA43" s="51"/>
      <c r="AB43" s="51"/>
    </row>
    <row r="44" spans="3:28" ht="15" thickBot="1">
      <c r="J44" t="s">
        <v>68</v>
      </c>
      <c r="T44" s="51"/>
      <c r="U44" s="51"/>
      <c r="V44" s="51"/>
      <c r="W44" s="51"/>
      <c r="X44" s="51"/>
      <c r="Y44" s="51"/>
      <c r="Z44" s="51"/>
      <c r="AA44" s="51"/>
      <c r="AB44" s="51"/>
    </row>
    <row r="45" spans="3:28">
      <c r="J45" s="33"/>
      <c r="K45" s="33" t="s">
        <v>73</v>
      </c>
      <c r="L45" s="33" t="s">
        <v>74</v>
      </c>
      <c r="M45" s="33" t="s">
        <v>75</v>
      </c>
      <c r="N45" s="33" t="s">
        <v>76</v>
      </c>
      <c r="O45" s="33" t="s">
        <v>77</v>
      </c>
      <c r="T45" s="51"/>
      <c r="U45" s="51"/>
      <c r="V45" s="51"/>
      <c r="W45" s="51"/>
      <c r="X45" s="51"/>
      <c r="Y45" s="51"/>
      <c r="Z45" s="51"/>
      <c r="AA45" s="51"/>
      <c r="AB45" s="51"/>
    </row>
    <row r="46" spans="3:28">
      <c r="J46" t="s">
        <v>69</v>
      </c>
      <c r="K46">
        <v>3</v>
      </c>
      <c r="L46">
        <v>1.6621407190293147E-2</v>
      </c>
      <c r="M46">
        <v>5.5404690634310487E-3</v>
      </c>
      <c r="N46">
        <v>2262.5226245928147</v>
      </c>
      <c r="O46">
        <v>1.5064827769661006E-9</v>
      </c>
      <c r="T46" s="51"/>
      <c r="U46" s="51"/>
      <c r="V46" s="51"/>
      <c r="W46" s="51"/>
      <c r="X46" s="51"/>
      <c r="Y46" s="51"/>
      <c r="Z46" s="51"/>
      <c r="AA46" s="51"/>
      <c r="AB46" s="51"/>
    </row>
    <row r="47" spans="3:28">
      <c r="J47" t="s">
        <v>70</v>
      </c>
      <c r="K47">
        <v>6</v>
      </c>
      <c r="L47">
        <v>1.469280970685055E-5</v>
      </c>
      <c r="M47">
        <v>2.4488016178084252E-6</v>
      </c>
      <c r="T47" s="51"/>
      <c r="U47" s="51"/>
      <c r="V47" s="51"/>
      <c r="W47" s="51"/>
      <c r="X47" s="51"/>
      <c r="Y47" s="51"/>
      <c r="Z47" s="51"/>
      <c r="AA47" s="51"/>
      <c r="AB47" s="51"/>
    </row>
    <row r="48" spans="3:28" ht="15" thickBot="1">
      <c r="J48" s="32" t="s">
        <v>71</v>
      </c>
      <c r="K48" s="32">
        <v>9</v>
      </c>
      <c r="L48" s="32">
        <v>1.6636099999999997E-2</v>
      </c>
      <c r="M48" s="32"/>
      <c r="N48" s="32"/>
      <c r="O48" s="32"/>
      <c r="T48" s="51"/>
      <c r="U48" s="51"/>
      <c r="V48" s="51"/>
      <c r="W48" s="51"/>
      <c r="X48" s="51"/>
      <c r="Y48" s="51"/>
      <c r="Z48" s="51"/>
      <c r="AA48" s="51"/>
      <c r="AB48" s="51"/>
    </row>
    <row r="49" spans="2:28" ht="15" thickBot="1">
      <c r="T49" s="51"/>
      <c r="U49" s="51"/>
      <c r="V49" s="51"/>
      <c r="W49" s="51"/>
      <c r="X49" s="51"/>
      <c r="Y49" s="51"/>
      <c r="Z49" s="51"/>
      <c r="AA49" s="51"/>
      <c r="AB49" s="51"/>
    </row>
    <row r="50" spans="2:28">
      <c r="J50" s="33"/>
      <c r="K50" s="33" t="s">
        <v>78</v>
      </c>
      <c r="L50" s="33" t="s">
        <v>66</v>
      </c>
      <c r="M50" s="33" t="s">
        <v>79</v>
      </c>
      <c r="N50" s="33" t="s">
        <v>80</v>
      </c>
      <c r="O50" s="33" t="s">
        <v>81</v>
      </c>
      <c r="P50" s="33" t="s">
        <v>82</v>
      </c>
      <c r="Q50" s="33" t="s">
        <v>83</v>
      </c>
      <c r="R50" s="33" t="s">
        <v>84</v>
      </c>
    </row>
    <row r="51" spans="2:28">
      <c r="J51" t="s">
        <v>72</v>
      </c>
      <c r="K51">
        <v>1.0293492830233506</v>
      </c>
      <c r="L51">
        <v>1.4982609850989778E-2</v>
      </c>
      <c r="M51">
        <v>68.702935820981153</v>
      </c>
      <c r="N51">
        <v>6.3974034814061794E-10</v>
      </c>
      <c r="O51">
        <v>0.9926881574178823</v>
      </c>
      <c r="P51">
        <v>1.0660104086288189</v>
      </c>
      <c r="Q51">
        <v>0.9926881574178823</v>
      </c>
      <c r="R51">
        <v>1.0660104086288189</v>
      </c>
    </row>
    <row r="52" spans="2:28">
      <c r="J52" t="s">
        <v>9</v>
      </c>
      <c r="K52">
        <v>-1.0321994751592289</v>
      </c>
      <c r="L52">
        <v>1.2617872074692919E-2</v>
      </c>
      <c r="M52">
        <v>-81.804560154755691</v>
      </c>
      <c r="N52">
        <v>2.2470720474573386E-10</v>
      </c>
      <c r="O52">
        <v>-1.0630742958750261</v>
      </c>
      <c r="P52">
        <v>-1.0013246544434318</v>
      </c>
      <c r="Q52">
        <v>-1.0630742958750261</v>
      </c>
      <c r="R52">
        <v>-1.0013246544434318</v>
      </c>
    </row>
    <row r="53" spans="2:28">
      <c r="J53" t="s">
        <v>10</v>
      </c>
      <c r="K53">
        <v>-1.003950435163748</v>
      </c>
      <c r="L53">
        <v>4.17862321813093E-2</v>
      </c>
      <c r="M53">
        <v>-24.025866481754925</v>
      </c>
      <c r="N53">
        <v>3.4153826632459915E-7</v>
      </c>
      <c r="O53">
        <v>-1.106197661902889</v>
      </c>
      <c r="P53">
        <v>-0.90170320842460705</v>
      </c>
      <c r="Q53">
        <v>-1.106197661902889</v>
      </c>
      <c r="R53">
        <v>-0.90170320842460705</v>
      </c>
    </row>
    <row r="54" spans="2:28" ht="15" thickBot="1">
      <c r="J54" s="32" t="s">
        <v>49</v>
      </c>
      <c r="K54" s="32">
        <v>-1.9915817863421125E-2</v>
      </c>
      <c r="L54" s="32">
        <v>1.657682790887895E-2</v>
      </c>
      <c r="M54" s="32">
        <v>-1.20142514435791</v>
      </c>
      <c r="N54" s="32">
        <v>0.27485375887062841</v>
      </c>
      <c r="O54" s="32">
        <v>-6.0477854528047714E-2</v>
      </c>
      <c r="P54" s="32">
        <v>2.0646218801205461E-2</v>
      </c>
      <c r="Q54" s="32">
        <v>-6.0477854528047714E-2</v>
      </c>
      <c r="R54" s="32">
        <v>2.0646218801205461E-2</v>
      </c>
    </row>
    <row r="59" spans="2:28">
      <c r="J59" t="s">
        <v>61</v>
      </c>
      <c r="K59" t="s">
        <v>48</v>
      </c>
    </row>
    <row r="60" spans="2:28" ht="15" thickBot="1"/>
    <row r="61" spans="2:28">
      <c r="B61" s="51" t="s">
        <v>104</v>
      </c>
      <c r="C61" s="51"/>
      <c r="D61" s="51"/>
      <c r="E61" s="51"/>
      <c r="F61" s="51"/>
      <c r="G61" s="51"/>
      <c r="J61" s="34" t="s">
        <v>62</v>
      </c>
      <c r="K61" s="34"/>
    </row>
    <row r="62" spans="2:28">
      <c r="B62" s="51"/>
      <c r="C62" s="51"/>
      <c r="D62" s="51"/>
      <c r="E62" s="51"/>
      <c r="F62" s="51"/>
      <c r="G62" s="51"/>
      <c r="J62" t="s">
        <v>63</v>
      </c>
      <c r="K62">
        <v>0.97571734986215053</v>
      </c>
    </row>
    <row r="63" spans="2:28">
      <c r="B63" s="51"/>
      <c r="C63" s="51"/>
      <c r="D63" s="51"/>
      <c r="E63" s="51"/>
      <c r="F63" s="51"/>
      <c r="G63" s="51"/>
      <c r="J63" t="s">
        <v>64</v>
      </c>
      <c r="K63">
        <v>0.9520243468220182</v>
      </c>
    </row>
    <row r="64" spans="2:28">
      <c r="B64" s="51"/>
      <c r="C64" s="51"/>
      <c r="D64" s="51"/>
      <c r="E64" s="51"/>
      <c r="F64" s="51"/>
      <c r="G64" s="51"/>
      <c r="J64" t="s">
        <v>65</v>
      </c>
      <c r="K64">
        <v>0.9280365202330273</v>
      </c>
    </row>
    <row r="65" spans="2:18">
      <c r="B65" s="51"/>
      <c r="C65" s="51"/>
      <c r="D65" s="51"/>
      <c r="E65" s="51"/>
      <c r="F65" s="51"/>
      <c r="G65" s="51"/>
      <c r="J65" t="s">
        <v>66</v>
      </c>
      <c r="K65">
        <v>4.125957931289817E-2</v>
      </c>
    </row>
    <row r="66" spans="2:18" ht="15" thickBot="1">
      <c r="B66" s="51"/>
      <c r="C66" s="51"/>
      <c r="D66" s="51"/>
      <c r="E66" s="51"/>
      <c r="F66" s="51"/>
      <c r="G66" s="51"/>
      <c r="J66" s="32" t="s">
        <v>67</v>
      </c>
      <c r="K66" s="32">
        <v>10</v>
      </c>
    </row>
    <row r="67" spans="2:18">
      <c r="B67" s="51"/>
      <c r="C67" s="51"/>
      <c r="D67" s="51"/>
      <c r="E67" s="51"/>
      <c r="F67" s="51"/>
      <c r="G67" s="51"/>
    </row>
    <row r="68" spans="2:18" ht="15" thickBot="1">
      <c r="B68" s="51"/>
      <c r="C68" s="51"/>
      <c r="D68" s="51"/>
      <c r="E68" s="51"/>
      <c r="F68" s="51"/>
      <c r="G68" s="51"/>
      <c r="J68" t="s">
        <v>68</v>
      </c>
    </row>
    <row r="69" spans="2:18">
      <c r="B69" s="51"/>
      <c r="C69" s="51"/>
      <c r="D69" s="51"/>
      <c r="E69" s="51"/>
      <c r="F69" s="51"/>
      <c r="G69" s="51"/>
      <c r="J69" s="33"/>
      <c r="K69" s="33" t="s">
        <v>73</v>
      </c>
      <c r="L69" s="33" t="s">
        <v>74</v>
      </c>
      <c r="M69" s="33" t="s">
        <v>75</v>
      </c>
      <c r="N69" s="33" t="s">
        <v>76</v>
      </c>
      <c r="O69" s="33" t="s">
        <v>77</v>
      </c>
    </row>
    <row r="70" spans="2:18">
      <c r="B70" s="51"/>
      <c r="C70" s="51"/>
      <c r="D70" s="51"/>
      <c r="E70" s="51"/>
      <c r="F70" s="51"/>
      <c r="G70" s="51"/>
      <c r="J70" t="s">
        <v>69</v>
      </c>
      <c r="K70">
        <v>3</v>
      </c>
      <c r="L70">
        <v>0.20268798268953597</v>
      </c>
      <c r="M70">
        <v>6.7562660896511986E-2</v>
      </c>
      <c r="N70">
        <v>39.687811786122566</v>
      </c>
      <c r="O70">
        <v>2.3716377752512139E-4</v>
      </c>
    </row>
    <row r="71" spans="2:18">
      <c r="B71" s="51"/>
      <c r="C71" s="51"/>
      <c r="D71" s="51"/>
      <c r="E71" s="51"/>
      <c r="F71" s="51"/>
      <c r="G71" s="51"/>
      <c r="J71" t="s">
        <v>70</v>
      </c>
      <c r="K71">
        <v>6</v>
      </c>
      <c r="L71">
        <v>1.0214117310464007E-2</v>
      </c>
      <c r="M71">
        <v>1.7023528850773344E-3</v>
      </c>
    </row>
    <row r="72" spans="2:18" ht="15" thickBot="1">
      <c r="B72" s="51"/>
      <c r="C72" s="51"/>
      <c r="D72" s="51"/>
      <c r="E72" s="51"/>
      <c r="F72" s="51"/>
      <c r="G72" s="51"/>
      <c r="J72" s="32" t="s">
        <v>71</v>
      </c>
      <c r="K72" s="32">
        <v>9</v>
      </c>
      <c r="L72" s="32">
        <v>0.21290209999999998</v>
      </c>
      <c r="M72" s="32"/>
      <c r="N72" s="32"/>
      <c r="O72" s="32"/>
    </row>
    <row r="73" spans="2:18" ht="15" thickBot="1">
      <c r="B73" s="51"/>
      <c r="C73" s="51"/>
      <c r="D73" s="51"/>
      <c r="E73" s="51"/>
      <c r="F73" s="51"/>
      <c r="G73" s="51"/>
    </row>
    <row r="74" spans="2:18">
      <c r="B74" s="51"/>
      <c r="C74" s="51"/>
      <c r="D74" s="51"/>
      <c r="E74" s="51"/>
      <c r="F74" s="51"/>
      <c r="G74" s="51"/>
      <c r="J74" s="33"/>
      <c r="K74" s="33" t="s">
        <v>78</v>
      </c>
      <c r="L74" s="33" t="s">
        <v>66</v>
      </c>
      <c r="M74" s="33" t="s">
        <v>79</v>
      </c>
      <c r="N74" s="33" t="s">
        <v>80</v>
      </c>
      <c r="O74" s="33" t="s">
        <v>81</v>
      </c>
      <c r="P74" s="33" t="s">
        <v>82</v>
      </c>
      <c r="Q74" s="33" t="s">
        <v>83</v>
      </c>
      <c r="R74" s="33" t="s">
        <v>84</v>
      </c>
    </row>
    <row r="75" spans="2:18">
      <c r="B75" s="51"/>
      <c r="C75" s="51"/>
      <c r="D75" s="51"/>
      <c r="E75" s="51"/>
      <c r="F75" s="51"/>
      <c r="G75" s="51"/>
      <c r="J75" t="s">
        <v>72</v>
      </c>
      <c r="K75">
        <v>0.60183506837084755</v>
      </c>
      <c r="L75">
        <v>0.24834194231151183</v>
      </c>
      <c r="M75">
        <v>2.4234129070953538</v>
      </c>
      <c r="N75">
        <v>5.1622856684125862E-2</v>
      </c>
      <c r="O75">
        <v>-5.835773407551148E-3</v>
      </c>
      <c r="P75">
        <v>1.2095059101492462</v>
      </c>
      <c r="Q75">
        <v>-5.835773407551148E-3</v>
      </c>
      <c r="R75">
        <v>1.2095059101492462</v>
      </c>
    </row>
    <row r="76" spans="2:18">
      <c r="B76" s="51"/>
      <c r="C76" s="51"/>
      <c r="D76" s="51"/>
      <c r="E76" s="51"/>
      <c r="F76" s="51"/>
      <c r="G76" s="51"/>
      <c r="J76" t="s">
        <v>9</v>
      </c>
      <c r="K76">
        <v>-0.19906612269423049</v>
      </c>
      <c r="L76">
        <v>0.56247622790285701</v>
      </c>
      <c r="M76">
        <v>-0.35391028601587476</v>
      </c>
      <c r="N76">
        <v>0.73551070798524032</v>
      </c>
      <c r="O76">
        <v>-1.5753958707370501</v>
      </c>
      <c r="P76">
        <v>1.1772636253485891</v>
      </c>
      <c r="Q76">
        <v>-1.5753958707370501</v>
      </c>
      <c r="R76">
        <v>1.1772636253485891</v>
      </c>
    </row>
    <row r="77" spans="2:18">
      <c r="J77" t="s">
        <v>10</v>
      </c>
      <c r="K77">
        <v>-1.0700550741536847</v>
      </c>
      <c r="L77">
        <v>0.1630594331088541</v>
      </c>
      <c r="M77">
        <v>-6.5623622856541193</v>
      </c>
      <c r="N77">
        <v>5.9978683281595969E-4</v>
      </c>
      <c r="O77">
        <v>-1.4690471334687203</v>
      </c>
      <c r="P77">
        <v>-0.67106301483864916</v>
      </c>
      <c r="Q77">
        <v>-1.4690471334687203</v>
      </c>
      <c r="R77">
        <v>-0.67106301483864916</v>
      </c>
    </row>
    <row r="78" spans="2:18" ht="15" thickBot="1">
      <c r="J78" s="32" t="s">
        <v>49</v>
      </c>
      <c r="K78" s="32">
        <v>-3.4517952021384045E-2</v>
      </c>
      <c r="L78" s="32">
        <v>3.7614048203623941E-2</v>
      </c>
      <c r="M78" s="32">
        <v>-0.91768777012569469</v>
      </c>
      <c r="N78" s="32">
        <v>0.39417444032657195</v>
      </c>
      <c r="O78" s="32">
        <v>-0.12655621234036962</v>
      </c>
      <c r="P78" s="32">
        <v>5.752030829760154E-2</v>
      </c>
      <c r="Q78" s="32">
        <v>-0.12655621234036962</v>
      </c>
      <c r="R78" s="32">
        <v>5.752030829760154E-2</v>
      </c>
    </row>
    <row r="79" spans="2:18">
      <c r="B79" s="2"/>
      <c r="C79" s="2"/>
      <c r="D79" s="2"/>
      <c r="E79" s="2"/>
      <c r="F79" s="2"/>
      <c r="G79" s="2"/>
    </row>
    <row r="80" spans="2:18">
      <c r="B80" s="2"/>
      <c r="C80" s="2"/>
      <c r="D80" s="2"/>
      <c r="E80" s="2"/>
      <c r="F80" s="2"/>
      <c r="G80" s="2"/>
    </row>
    <row r="81" spans="1:7">
      <c r="B81" s="2"/>
      <c r="C81" s="2"/>
      <c r="D81" s="2"/>
      <c r="E81" s="2"/>
      <c r="F81" s="2"/>
      <c r="G81" s="2"/>
    </row>
    <row r="82" spans="1:7">
      <c r="B82" s="2"/>
      <c r="C82" s="2"/>
      <c r="D82" s="2"/>
      <c r="E82" s="2"/>
      <c r="F82" s="2"/>
      <c r="G82" s="2"/>
    </row>
    <row r="83" spans="1:7">
      <c r="B83" s="2"/>
      <c r="C83" s="2"/>
      <c r="D83" s="2"/>
      <c r="E83" s="2"/>
      <c r="F83" s="2"/>
      <c r="G83" s="2"/>
    </row>
    <row r="84" spans="1:7">
      <c r="B84" s="2"/>
      <c r="C84" s="2"/>
      <c r="D84" s="2"/>
      <c r="E84" s="2"/>
      <c r="F84" s="2"/>
      <c r="G84" s="2"/>
    </row>
    <row r="85" spans="1:7">
      <c r="B85" s="2"/>
      <c r="C85" s="2"/>
      <c r="D85" s="2"/>
      <c r="E85" s="2"/>
      <c r="F85" s="2"/>
      <c r="G85" s="2"/>
    </row>
    <row r="86" spans="1:7">
      <c r="B86" s="2"/>
      <c r="C86" s="2"/>
      <c r="D86" s="2"/>
      <c r="E86" s="2"/>
      <c r="F86" s="2"/>
      <c r="G86" s="2"/>
    </row>
    <row r="87" spans="1:7">
      <c r="B87" s="2"/>
      <c r="C87" s="2"/>
      <c r="D87" s="2"/>
      <c r="E87" s="2"/>
      <c r="F87" s="2"/>
      <c r="G87" s="2"/>
    </row>
    <row r="93" spans="1:7">
      <c r="A93" s="54" t="s">
        <v>40</v>
      </c>
      <c r="B93" s="54"/>
      <c r="C93" s="54"/>
      <c r="E93" s="55" t="s">
        <v>48</v>
      </c>
      <c r="F93" s="55"/>
      <c r="G93" s="55"/>
    </row>
    <row r="94" spans="1:7" ht="15" thickBot="1">
      <c r="A94" s="3" t="s">
        <v>0</v>
      </c>
      <c r="B94" s="37" t="s">
        <v>10</v>
      </c>
      <c r="C94" s="42" t="s">
        <v>41</v>
      </c>
      <c r="E94" s="45" t="s">
        <v>10</v>
      </c>
      <c r="F94" s="37" t="s">
        <v>41</v>
      </c>
      <c r="G94" s="48" t="s">
        <v>0</v>
      </c>
    </row>
    <row r="95" spans="1:7" ht="15" thickTop="1">
      <c r="A95" s="41">
        <v>2020</v>
      </c>
      <c r="B95" s="39">
        <v>0.23699999999999999</v>
      </c>
      <c r="C95" s="44">
        <v>0.36799999999999999</v>
      </c>
      <c r="E95" s="46">
        <v>0.27800000000000002</v>
      </c>
      <c r="F95" s="38">
        <v>0.20499999999999999</v>
      </c>
      <c r="G95" s="49">
        <v>2023</v>
      </c>
    </row>
    <row r="96" spans="1:7">
      <c r="A96" s="40">
        <v>2021</v>
      </c>
      <c r="B96" s="38">
        <v>0.23699999999999999</v>
      </c>
      <c r="C96" s="43">
        <v>0.33300000000000002</v>
      </c>
      <c r="E96" s="46">
        <v>0.318</v>
      </c>
      <c r="F96" s="38">
        <v>5.6000000000000001E-2</v>
      </c>
      <c r="G96" s="49">
        <v>2025</v>
      </c>
    </row>
    <row r="97" spans="1:11">
      <c r="A97" s="41">
        <v>2022</v>
      </c>
      <c r="B97" s="39">
        <v>0.252</v>
      </c>
      <c r="C97" s="44">
        <v>0.26100000000000001</v>
      </c>
      <c r="E97" s="47">
        <v>0.38700000000000001</v>
      </c>
      <c r="F97" s="39">
        <v>0.12</v>
      </c>
      <c r="G97" s="50">
        <v>2024</v>
      </c>
    </row>
    <row r="98" spans="1:11">
      <c r="A98" s="40">
        <v>2023</v>
      </c>
      <c r="B98" s="38">
        <v>0.25800000000000001</v>
      </c>
      <c r="C98" s="43">
        <v>0.28299999999999997</v>
      </c>
      <c r="E98" s="47">
        <v>0.40600000000000003</v>
      </c>
      <c r="F98" s="39">
        <v>6.0999999999999999E-2</v>
      </c>
      <c r="G98" s="50">
        <v>2020</v>
      </c>
    </row>
    <row r="99" spans="1:11">
      <c r="A99" s="41">
        <v>2018</v>
      </c>
      <c r="B99" s="39">
        <v>0.26600000000000001</v>
      </c>
      <c r="C99" s="44">
        <v>0.35199999999999998</v>
      </c>
      <c r="E99" s="46">
        <v>0.42099999999999999</v>
      </c>
      <c r="F99" s="38">
        <v>-1.0999999999999999E-2</v>
      </c>
      <c r="G99" s="49">
        <v>2021</v>
      </c>
    </row>
    <row r="100" spans="1:11">
      <c r="A100" s="40">
        <v>2019</v>
      </c>
      <c r="B100" s="38">
        <v>0.26600000000000001</v>
      </c>
      <c r="C100" s="43">
        <v>0.34799999999999998</v>
      </c>
      <c r="E100" s="46">
        <v>0.436</v>
      </c>
      <c r="F100" s="38">
        <v>-7.0000000000000001E-3</v>
      </c>
      <c r="G100" s="49">
        <v>2019</v>
      </c>
    </row>
    <row r="101" spans="1:11">
      <c r="A101" s="40">
        <v>2025</v>
      </c>
      <c r="B101" s="38">
        <v>0.26700000000000002</v>
      </c>
      <c r="C101" s="43">
        <v>0.30499999999999999</v>
      </c>
      <c r="E101" s="47">
        <v>0.55200000000000005</v>
      </c>
      <c r="F101" s="39">
        <v>-0.124</v>
      </c>
      <c r="G101" s="50">
        <v>2016</v>
      </c>
    </row>
    <row r="102" spans="1:11">
      <c r="A102" s="40">
        <v>2017</v>
      </c>
      <c r="B102" s="38">
        <v>0.27900000000000003</v>
      </c>
      <c r="C102" s="43">
        <v>0.37</v>
      </c>
      <c r="E102" s="47">
        <v>0.60299999999999998</v>
      </c>
      <c r="F102" s="39">
        <v>-0.20100000000000001</v>
      </c>
      <c r="G102" s="50">
        <v>2018</v>
      </c>
    </row>
    <row r="103" spans="1:11">
      <c r="A103" s="41">
        <v>2016</v>
      </c>
      <c r="B103" s="39">
        <v>0.28100000000000003</v>
      </c>
      <c r="C103" s="44">
        <v>0.36899999999999999</v>
      </c>
      <c r="E103" s="46">
        <v>0.65</v>
      </c>
      <c r="F103" s="38">
        <v>-0.223</v>
      </c>
      <c r="G103" s="49">
        <v>2017</v>
      </c>
    </row>
    <row r="104" spans="1:11">
      <c r="A104" s="41">
        <v>2024</v>
      </c>
      <c r="B104" s="39">
        <v>0.28299999999999997</v>
      </c>
      <c r="C104" s="44">
        <v>0.26800000000000002</v>
      </c>
      <c r="E104" s="47">
        <v>0.65600000000000003</v>
      </c>
      <c r="F104" s="39">
        <v>-0.23899999999999999</v>
      </c>
      <c r="G104" s="50">
        <v>2022</v>
      </c>
    </row>
    <row r="109" spans="1:11">
      <c r="H109" s="51" t="s">
        <v>105</v>
      </c>
      <c r="I109" s="51"/>
      <c r="J109" s="51"/>
      <c r="K109" s="51"/>
    </row>
    <row r="110" spans="1:11">
      <c r="H110" s="51"/>
      <c r="I110" s="51"/>
      <c r="J110" s="51"/>
      <c r="K110" s="51"/>
    </row>
    <row r="111" spans="1:11">
      <c r="H111" s="51"/>
      <c r="I111" s="51"/>
      <c r="J111" s="51"/>
      <c r="K111" s="51"/>
    </row>
    <row r="112" spans="1:11">
      <c r="H112" s="51"/>
      <c r="I112" s="51"/>
      <c r="J112" s="51"/>
      <c r="K112" s="51"/>
    </row>
    <row r="113" spans="8:11">
      <c r="H113" s="51"/>
      <c r="I113" s="51"/>
      <c r="J113" s="51"/>
      <c r="K113" s="51"/>
    </row>
    <row r="114" spans="8:11">
      <c r="H114" s="51"/>
      <c r="I114" s="51"/>
      <c r="J114" s="51"/>
      <c r="K114" s="51"/>
    </row>
    <row r="115" spans="8:11">
      <c r="H115" s="51"/>
      <c r="I115" s="51"/>
      <c r="J115" s="51"/>
      <c r="K115" s="51"/>
    </row>
    <row r="116" spans="8:11">
      <c r="H116" s="51"/>
      <c r="I116" s="51"/>
      <c r="J116" s="51"/>
      <c r="K116" s="51"/>
    </row>
    <row r="117" spans="8:11">
      <c r="H117" s="51"/>
      <c r="I117" s="51"/>
      <c r="J117" s="51"/>
      <c r="K117" s="51"/>
    </row>
    <row r="118" spans="8:11">
      <c r="H118" s="51"/>
      <c r="I118" s="51"/>
      <c r="J118" s="51"/>
      <c r="K118" s="51"/>
    </row>
  </sheetData>
  <mergeCells count="7">
    <mergeCell ref="H109:K118"/>
    <mergeCell ref="Q4:S7"/>
    <mergeCell ref="T39:AB49"/>
    <mergeCell ref="C38:F42"/>
    <mergeCell ref="B61:G76"/>
    <mergeCell ref="A93:C93"/>
    <mergeCell ref="E93:G93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C46E-68E4-4FE3-97B1-380C11038F82}">
  <dimension ref="A3:D15"/>
  <sheetViews>
    <sheetView zoomScaleNormal="100" workbookViewId="0">
      <selection activeCell="J13" sqref="J13"/>
    </sheetView>
  </sheetViews>
  <sheetFormatPr defaultRowHeight="14.4"/>
  <cols>
    <col min="1" max="1" width="19.109375" bestFit="1" customWidth="1"/>
    <col min="2" max="2" width="16.33203125" bestFit="1" customWidth="1"/>
    <col min="3" max="4" width="15.33203125" bestFit="1" customWidth="1"/>
  </cols>
  <sheetData>
    <row r="3" spans="1:4">
      <c r="A3" s="23" t="s">
        <v>56</v>
      </c>
      <c r="B3" s="23" t="s">
        <v>52</v>
      </c>
    </row>
    <row r="4" spans="1:4">
      <c r="A4" s="23" t="s">
        <v>50</v>
      </c>
      <c r="B4" t="s">
        <v>48</v>
      </c>
      <c r="C4" t="s">
        <v>40</v>
      </c>
      <c r="D4" t="s">
        <v>51</v>
      </c>
    </row>
    <row r="5" spans="1:4">
      <c r="A5" s="24">
        <v>2016</v>
      </c>
      <c r="B5" s="26">
        <v>22760983</v>
      </c>
      <c r="C5" s="26">
        <v>3049393000</v>
      </c>
      <c r="D5" s="26">
        <v>1536076991.5</v>
      </c>
    </row>
    <row r="6" spans="1:4">
      <c r="A6" s="24">
        <v>2017</v>
      </c>
      <c r="B6" s="26">
        <v>36164064</v>
      </c>
      <c r="C6" s="26">
        <v>3369045000</v>
      </c>
      <c r="D6" s="26">
        <v>1702604532</v>
      </c>
    </row>
    <row r="7" spans="1:4">
      <c r="A7" s="24">
        <v>2018</v>
      </c>
      <c r="B7" s="26">
        <v>52603986</v>
      </c>
      <c r="C7" s="26">
        <v>3807183000</v>
      </c>
      <c r="D7" s="26">
        <v>1929893493</v>
      </c>
    </row>
    <row r="8" spans="1:4">
      <c r="A8" s="24">
        <v>2019</v>
      </c>
      <c r="B8" s="26">
        <v>75146546</v>
      </c>
      <c r="C8" s="26">
        <v>4200819000</v>
      </c>
      <c r="D8" s="26">
        <v>2137982773</v>
      </c>
    </row>
    <row r="9" spans="1:4">
      <c r="A9" s="24">
        <v>2020</v>
      </c>
      <c r="B9" s="26">
        <v>130726000</v>
      </c>
      <c r="C9" s="26">
        <v>4598638000</v>
      </c>
      <c r="D9" s="26">
        <v>2364682000</v>
      </c>
    </row>
    <row r="10" spans="1:4">
      <c r="A10" s="24">
        <v>2021</v>
      </c>
      <c r="B10" s="26">
        <v>314272000</v>
      </c>
      <c r="C10" s="26">
        <v>5541352000</v>
      </c>
      <c r="D10" s="26">
        <v>2927812000</v>
      </c>
    </row>
    <row r="11" spans="1:4">
      <c r="A11" s="24">
        <v>2022</v>
      </c>
      <c r="B11" s="26">
        <v>653604000</v>
      </c>
      <c r="C11" s="26">
        <v>6311050000</v>
      </c>
      <c r="D11" s="26">
        <v>3482327000</v>
      </c>
    </row>
    <row r="12" spans="1:4">
      <c r="A12" s="24">
        <v>2023</v>
      </c>
      <c r="B12" s="26">
        <v>1318014000</v>
      </c>
      <c r="C12" s="26">
        <v>7140027000</v>
      </c>
      <c r="D12" s="26">
        <v>4229020500</v>
      </c>
    </row>
    <row r="13" spans="1:4">
      <c r="A13" s="24">
        <v>2024</v>
      </c>
      <c r="B13" s="26">
        <v>1355630000</v>
      </c>
      <c r="C13" s="26">
        <v>7492709000</v>
      </c>
      <c r="D13" s="26">
        <v>4424169500</v>
      </c>
    </row>
    <row r="14" spans="1:4">
      <c r="A14" s="24">
        <v>2025</v>
      </c>
      <c r="B14" s="26">
        <v>2515269000</v>
      </c>
      <c r="C14" s="26">
        <v>8294343000</v>
      </c>
      <c r="D14" s="26">
        <v>5404806000</v>
      </c>
    </row>
    <row r="15" spans="1:4">
      <c r="A15" s="24" t="s">
        <v>51</v>
      </c>
      <c r="B15" s="26">
        <v>647419057.89999998</v>
      </c>
      <c r="C15" s="26">
        <v>5380455900</v>
      </c>
      <c r="D15" s="26">
        <v>3013937478.9499998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4703-1471-4B81-AA3B-04E00EA0312A}">
  <dimension ref="A3:K15"/>
  <sheetViews>
    <sheetView workbookViewId="0">
      <selection activeCell="F13" sqref="F13"/>
    </sheetView>
  </sheetViews>
  <sheetFormatPr defaultRowHeight="14.4"/>
  <cols>
    <col min="1" max="1" width="26.5546875" bestFit="1" customWidth="1"/>
    <col min="2" max="2" width="18.5546875" bestFit="1" customWidth="1"/>
    <col min="3" max="3" width="8.5546875" bestFit="1" customWidth="1"/>
    <col min="4" max="4" width="11.33203125" bestFit="1" customWidth="1"/>
    <col min="6" max="6" width="26.44140625" bestFit="1" customWidth="1"/>
    <col min="7" max="7" width="18.5546875" bestFit="1" customWidth="1"/>
    <col min="8" max="8" width="8.5546875" bestFit="1" customWidth="1"/>
    <col min="9" max="10" width="11.33203125" bestFit="1" customWidth="1"/>
  </cols>
  <sheetData>
    <row r="3" spans="1:11">
      <c r="A3" s="18" t="s">
        <v>53</v>
      </c>
      <c r="B3" s="18" t="s">
        <v>52</v>
      </c>
      <c r="C3" s="16"/>
      <c r="D3" s="16"/>
    </row>
    <row r="4" spans="1:11" ht="15" customHeight="1">
      <c r="A4" s="18" t="s">
        <v>50</v>
      </c>
      <c r="B4" s="16" t="s">
        <v>48</v>
      </c>
      <c r="C4" s="16" t="s">
        <v>40</v>
      </c>
      <c r="D4" s="16" t="s">
        <v>51</v>
      </c>
      <c r="F4" s="51" t="s">
        <v>101</v>
      </c>
      <c r="G4" s="51"/>
      <c r="H4" s="51"/>
      <c r="I4" s="51"/>
      <c r="J4" s="51"/>
      <c r="K4" s="51"/>
    </row>
    <row r="5" spans="1:11">
      <c r="A5" s="16">
        <v>2016</v>
      </c>
      <c r="B5" s="17">
        <v>0.32193384994166552</v>
      </c>
      <c r="C5" s="17">
        <v>0.12004456093594126</v>
      </c>
      <c r="D5" s="17">
        <v>0.2209892054388034</v>
      </c>
      <c r="F5" s="51"/>
      <c r="G5" s="51"/>
      <c r="H5" s="51"/>
      <c r="I5" s="51"/>
      <c r="J5" s="51"/>
      <c r="K5" s="51"/>
    </row>
    <row r="6" spans="1:11">
      <c r="A6" s="16">
        <v>2017</v>
      </c>
      <c r="B6" s="17">
        <v>0.5888621330634094</v>
      </c>
      <c r="C6" s="17">
        <v>0.10482479627912834</v>
      </c>
      <c r="D6" s="17">
        <v>0.34684346467126886</v>
      </c>
      <c r="F6" s="51"/>
      <c r="G6" s="51"/>
      <c r="H6" s="51"/>
      <c r="I6" s="51"/>
      <c r="J6" s="51"/>
      <c r="K6" s="51"/>
    </row>
    <row r="7" spans="1:11">
      <c r="A7" s="16">
        <v>2018</v>
      </c>
      <c r="B7" s="17">
        <v>0.45459276921974257</v>
      </c>
      <c r="C7" s="17">
        <v>0.13004812936603696</v>
      </c>
      <c r="D7" s="17">
        <v>0.29232044929288975</v>
      </c>
      <c r="F7" s="51"/>
      <c r="G7" s="51"/>
      <c r="H7" s="51"/>
      <c r="I7" s="51"/>
      <c r="J7" s="51"/>
      <c r="K7" s="51"/>
    </row>
    <row r="8" spans="1:11">
      <c r="A8" s="16">
        <v>2019</v>
      </c>
      <c r="B8" s="17">
        <v>0.42853330544191082</v>
      </c>
      <c r="C8" s="17">
        <v>0.10339298110965509</v>
      </c>
      <c r="D8" s="17">
        <v>0.26596314327578296</v>
      </c>
      <c r="F8" s="51"/>
      <c r="G8" s="51"/>
      <c r="H8" s="51"/>
      <c r="I8" s="51"/>
      <c r="J8" s="51"/>
      <c r="K8" s="51"/>
    </row>
    <row r="9" spans="1:11">
      <c r="A9" s="16">
        <v>2020</v>
      </c>
      <c r="B9" s="17">
        <v>0.73961421992702103</v>
      </c>
      <c r="C9" s="17">
        <v>9.4700342956932929E-2</v>
      </c>
      <c r="D9" s="17">
        <v>0.417157281441977</v>
      </c>
      <c r="F9" s="51"/>
      <c r="G9" s="51"/>
      <c r="H9" s="51"/>
      <c r="I9" s="51"/>
      <c r="J9" s="51"/>
      <c r="K9" s="51"/>
    </row>
    <row r="10" spans="1:11">
      <c r="A10" s="16">
        <v>2021</v>
      </c>
      <c r="B10" s="17">
        <v>1.4040512216391536</v>
      </c>
      <c r="C10" s="17">
        <v>0.20499852347586395</v>
      </c>
      <c r="D10" s="17">
        <v>0.80452487255750882</v>
      </c>
      <c r="F10" s="51"/>
      <c r="G10" s="51"/>
      <c r="H10" s="51"/>
      <c r="I10" s="51"/>
      <c r="J10" s="51"/>
      <c r="K10" s="51"/>
    </row>
    <row r="11" spans="1:11">
      <c r="A11" s="16">
        <v>2022</v>
      </c>
      <c r="B11" s="17">
        <v>1.0797398431931575</v>
      </c>
      <c r="C11" s="17">
        <v>0.13890075923709594</v>
      </c>
      <c r="D11" s="17">
        <v>0.6093203012151267</v>
      </c>
      <c r="F11" s="51"/>
      <c r="G11" s="51"/>
      <c r="H11" s="51"/>
      <c r="I11" s="51"/>
      <c r="J11" s="51"/>
      <c r="K11" s="51"/>
    </row>
    <row r="12" spans="1:11">
      <c r="A12" s="16">
        <v>2023</v>
      </c>
      <c r="B12" s="17">
        <v>1.0165329465547945</v>
      </c>
      <c r="C12" s="17">
        <v>0.13135326134319963</v>
      </c>
      <c r="D12" s="17">
        <v>0.57394310394899706</v>
      </c>
      <c r="F12" s="51"/>
      <c r="G12" s="51"/>
      <c r="H12" s="51"/>
      <c r="I12" s="51"/>
      <c r="J12" s="51"/>
      <c r="K12" s="51"/>
    </row>
    <row r="13" spans="1:11">
      <c r="A13" s="16">
        <v>2024</v>
      </c>
      <c r="B13" s="17">
        <v>2.8539909287761737E-2</v>
      </c>
      <c r="C13" s="17">
        <v>4.9395051307228953E-2</v>
      </c>
      <c r="D13" s="17">
        <v>3.8967480297495347E-2</v>
      </c>
    </row>
    <row r="14" spans="1:11">
      <c r="A14" s="16">
        <v>2025</v>
      </c>
      <c r="B14" s="17">
        <v>0.85542441521654133</v>
      </c>
      <c r="C14" s="17">
        <v>0.10698854045979898</v>
      </c>
      <c r="D14" s="17">
        <v>0.48120647783817017</v>
      </c>
    </row>
    <row r="15" spans="1:11">
      <c r="A15" s="22" t="s">
        <v>51</v>
      </c>
      <c r="B15" s="22">
        <v>0.69178246134851584</v>
      </c>
      <c r="C15" s="22">
        <v>0.1184646946470882</v>
      </c>
      <c r="D15" s="22">
        <v>0.40512357799780202</v>
      </c>
    </row>
  </sheetData>
  <mergeCells count="1">
    <mergeCell ref="F4:K1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4374-1F7D-47F1-B2BC-AF2D5446FCB3}">
  <dimension ref="A3:D15"/>
  <sheetViews>
    <sheetView zoomScale="85" zoomScaleNormal="85" workbookViewId="0">
      <selection activeCell="M2" sqref="M2"/>
    </sheetView>
  </sheetViews>
  <sheetFormatPr defaultRowHeight="14.4"/>
  <cols>
    <col min="1" max="1" width="26.109375" bestFit="1" customWidth="1"/>
    <col min="2" max="2" width="16.33203125" bestFit="1" customWidth="1"/>
    <col min="3" max="3" width="8.5546875" bestFit="1" customWidth="1"/>
    <col min="4" max="4" width="11.33203125" bestFit="1" customWidth="1"/>
    <col min="5" max="11" width="5" bestFit="1" customWidth="1"/>
    <col min="12" max="12" width="11.33203125" bestFit="1" customWidth="1"/>
  </cols>
  <sheetData>
    <row r="3" spans="1:4">
      <c r="A3" s="23" t="s">
        <v>57</v>
      </c>
      <c r="B3" s="23" t="s">
        <v>52</v>
      </c>
    </row>
    <row r="4" spans="1:4">
      <c r="A4" s="23" t="s">
        <v>50</v>
      </c>
      <c r="B4" t="s">
        <v>48</v>
      </c>
      <c r="C4" t="s">
        <v>40</v>
      </c>
      <c r="D4" t="s">
        <v>51</v>
      </c>
    </row>
    <row r="5" spans="1:4">
      <c r="A5" s="24">
        <v>2016</v>
      </c>
      <c r="B5" s="25">
        <v>0.57299999999999995</v>
      </c>
      <c r="C5" s="25">
        <v>0.36299999999999999</v>
      </c>
      <c r="D5" s="25">
        <v>0.46799999999999997</v>
      </c>
    </row>
    <row r="6" spans="1:4">
      <c r="A6" s="24">
        <v>2017</v>
      </c>
      <c r="B6" s="25">
        <v>0.57299999999999995</v>
      </c>
      <c r="C6" s="25">
        <v>0.36499999999999999</v>
      </c>
      <c r="D6" s="25">
        <v>0.46899999999999997</v>
      </c>
    </row>
    <row r="7" spans="1:4">
      <c r="A7" s="24">
        <v>2018</v>
      </c>
      <c r="B7" s="25">
        <v>0.6</v>
      </c>
      <c r="C7" s="25">
        <v>0.39700000000000002</v>
      </c>
      <c r="D7" s="25">
        <v>0.4985</v>
      </c>
    </row>
    <row r="8" spans="1:4">
      <c r="A8" s="24">
        <v>2019</v>
      </c>
      <c r="B8" s="25">
        <v>0.58299999999999996</v>
      </c>
      <c r="C8" s="25">
        <v>0.4</v>
      </c>
      <c r="D8" s="25">
        <v>0.49149999999999999</v>
      </c>
    </row>
    <row r="9" spans="1:4">
      <c r="A9" s="24">
        <v>2020</v>
      </c>
      <c r="B9" s="25">
        <v>0.53400000000000003</v>
      </c>
      <c r="C9" s="25">
        <v>0.40799999999999997</v>
      </c>
      <c r="D9" s="25">
        <v>0.47099999999999997</v>
      </c>
    </row>
    <row r="10" spans="1:4">
      <c r="A10" s="24">
        <v>2021</v>
      </c>
      <c r="B10" s="25">
        <v>0.59199999999999997</v>
      </c>
      <c r="C10" s="25">
        <v>0.439</v>
      </c>
      <c r="D10" s="25">
        <v>0.51549999999999996</v>
      </c>
    </row>
    <row r="11" spans="1:4">
      <c r="A11" s="24">
        <v>2022</v>
      </c>
      <c r="B11" s="25">
        <v>0.58599999999999997</v>
      </c>
      <c r="C11" s="25">
        <v>0.497</v>
      </c>
      <c r="D11" s="25">
        <v>0.54149999999999998</v>
      </c>
    </row>
    <row r="12" spans="1:4">
      <c r="A12" s="24">
        <v>2023</v>
      </c>
      <c r="B12" s="25">
        <v>0.52</v>
      </c>
      <c r="C12" s="25">
        <v>0.46899999999999997</v>
      </c>
      <c r="D12" s="25">
        <v>0.4945</v>
      </c>
    </row>
    <row r="13" spans="1:4">
      <c r="A13" s="24">
        <v>2024</v>
      </c>
      <c r="B13" s="25">
        <v>0.498</v>
      </c>
      <c r="C13" s="25">
        <v>0.46</v>
      </c>
      <c r="D13" s="25">
        <v>0.47899999999999998</v>
      </c>
    </row>
    <row r="14" spans="1:4">
      <c r="A14" s="24">
        <v>2025</v>
      </c>
      <c r="B14" s="25">
        <v>0.496</v>
      </c>
      <c r="C14" s="25">
        <v>0.442</v>
      </c>
      <c r="D14" s="25">
        <v>0.46899999999999997</v>
      </c>
    </row>
    <row r="15" spans="1:4">
      <c r="A15" s="24" t="s">
        <v>51</v>
      </c>
      <c r="B15" s="25">
        <v>0.55549999999999999</v>
      </c>
      <c r="C15" s="25">
        <v>0.42399999999999993</v>
      </c>
      <c r="D15" s="25">
        <v>0.48975000000000002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5A82-889D-4666-9457-8F4ACEA116AD}">
  <dimension ref="A1:T23"/>
  <sheetViews>
    <sheetView zoomScale="85" zoomScaleNormal="85" workbookViewId="0">
      <selection activeCell="N29" sqref="N29"/>
    </sheetView>
  </sheetViews>
  <sheetFormatPr defaultRowHeight="14.4"/>
  <cols>
    <col min="1" max="1" width="22.33203125" bestFit="1" customWidth="1"/>
    <col min="2" max="2" width="20" bestFit="1" customWidth="1"/>
    <col min="3" max="3" width="8.5546875" bestFit="1" customWidth="1"/>
    <col min="4" max="4" width="11.109375" bestFit="1" customWidth="1"/>
    <col min="13" max="13" width="13.5546875" bestFit="1" customWidth="1"/>
    <col min="14" max="14" width="18.6640625" bestFit="1" customWidth="1"/>
    <col min="15" max="17" width="18.33203125" bestFit="1" customWidth="1"/>
    <col min="18" max="18" width="19.5546875" bestFit="1" customWidth="1"/>
    <col min="19" max="19" width="16.6640625" bestFit="1" customWidth="1"/>
    <col min="20" max="20" width="18.33203125" bestFit="1" customWidth="1"/>
  </cols>
  <sheetData>
    <row r="1" spans="1:20">
      <c r="A1" s="19" t="s">
        <v>60</v>
      </c>
      <c r="B1" s="19" t="s">
        <v>52</v>
      </c>
      <c r="C1" s="3"/>
      <c r="D1" s="3"/>
    </row>
    <row r="2" spans="1:20">
      <c r="A2" s="19" t="s">
        <v>50</v>
      </c>
      <c r="B2" s="3" t="s">
        <v>48</v>
      </c>
      <c r="C2" s="3" t="s">
        <v>40</v>
      </c>
      <c r="D2" s="3" t="s">
        <v>51</v>
      </c>
    </row>
    <row r="3" spans="1:20">
      <c r="A3" s="3">
        <v>2016</v>
      </c>
      <c r="B3" s="20">
        <v>0.55200000000000005</v>
      </c>
      <c r="C3" s="20">
        <v>0.28100000000000003</v>
      </c>
      <c r="D3" s="20">
        <v>0.83300000000000007</v>
      </c>
      <c r="F3" s="51" t="s">
        <v>102</v>
      </c>
      <c r="G3" s="51"/>
      <c r="H3" s="51"/>
      <c r="I3" s="51"/>
      <c r="J3" s="51"/>
      <c r="K3" s="51"/>
      <c r="M3" s="30" t="s">
        <v>0</v>
      </c>
      <c r="N3" s="30" t="s">
        <v>45</v>
      </c>
      <c r="O3" s="30" t="s">
        <v>46</v>
      </c>
      <c r="P3" s="30" t="s">
        <v>9</v>
      </c>
      <c r="Q3" s="30" t="s">
        <v>10</v>
      </c>
      <c r="R3" s="30" t="s">
        <v>47</v>
      </c>
      <c r="S3" s="30" t="s">
        <v>41</v>
      </c>
      <c r="T3" s="30" t="s">
        <v>49</v>
      </c>
    </row>
    <row r="4" spans="1:20">
      <c r="A4" s="3">
        <v>2017</v>
      </c>
      <c r="B4" s="20">
        <v>0.65</v>
      </c>
      <c r="C4" s="20">
        <v>0.27900000000000003</v>
      </c>
      <c r="D4" s="20">
        <v>0.92900000000000005</v>
      </c>
      <c r="F4" s="51"/>
      <c r="G4" s="51"/>
      <c r="H4" s="51"/>
      <c r="I4" s="51"/>
      <c r="J4" s="51"/>
      <c r="K4" s="51"/>
      <c r="M4" s="31">
        <v>2025</v>
      </c>
      <c r="N4" s="31" t="s">
        <v>40</v>
      </c>
      <c r="O4" s="31">
        <v>8294343000</v>
      </c>
      <c r="P4" s="31">
        <v>0.442</v>
      </c>
      <c r="Q4" s="31">
        <v>0.26700000000000002</v>
      </c>
      <c r="R4" s="31">
        <v>0.29199999999999998</v>
      </c>
      <c r="S4" s="31">
        <v>0.30499999999999999</v>
      </c>
      <c r="T4" s="31">
        <f>(Table57[[#This Row],[Revenue]]-O5)/O5</f>
        <v>0.10698854045979898</v>
      </c>
    </row>
    <row r="5" spans="1:20">
      <c r="A5" s="3">
        <v>2018</v>
      </c>
      <c r="B5" s="20">
        <v>0.60299999999999998</v>
      </c>
      <c r="C5" s="20">
        <v>0.26600000000000001</v>
      </c>
      <c r="D5" s="20">
        <v>0.86899999999999999</v>
      </c>
      <c r="F5" s="51"/>
      <c r="G5" s="51"/>
      <c r="H5" s="51"/>
      <c r="I5" s="51"/>
      <c r="J5" s="51"/>
      <c r="K5" s="51"/>
      <c r="M5" s="31">
        <v>2024</v>
      </c>
      <c r="N5" s="31" t="s">
        <v>40</v>
      </c>
      <c r="O5" s="31">
        <v>7492709000</v>
      </c>
      <c r="P5" s="31">
        <v>0.46</v>
      </c>
      <c r="Q5" s="31">
        <v>0.28299999999999997</v>
      </c>
      <c r="R5" s="31">
        <v>0.25800000000000001</v>
      </c>
      <c r="S5" s="31">
        <v>0.26800000000000002</v>
      </c>
      <c r="T5" s="31">
        <f>(Table57[[#This Row],[Revenue]]-O6)/O6</f>
        <v>4.9395051307228953E-2</v>
      </c>
    </row>
    <row r="6" spans="1:20">
      <c r="A6" s="3">
        <v>2019</v>
      </c>
      <c r="B6" s="20">
        <v>0.436</v>
      </c>
      <c r="C6" s="20">
        <v>0.26600000000000001</v>
      </c>
      <c r="D6" s="20">
        <v>0.70199999999999996</v>
      </c>
      <c r="F6" s="51"/>
      <c r="G6" s="51"/>
      <c r="H6" s="51"/>
      <c r="I6" s="51"/>
      <c r="J6" s="51"/>
      <c r="K6" s="51"/>
      <c r="M6" s="31">
        <v>2023</v>
      </c>
      <c r="N6" s="31" t="s">
        <v>40</v>
      </c>
      <c r="O6" s="31">
        <v>7140027000</v>
      </c>
      <c r="P6" s="31">
        <v>0.46899999999999997</v>
      </c>
      <c r="Q6" s="31">
        <v>0.25800000000000001</v>
      </c>
      <c r="R6" s="31">
        <v>0.27400000000000002</v>
      </c>
      <c r="S6" s="31">
        <v>0.28299999999999997</v>
      </c>
      <c r="T6" s="31">
        <f>(Table57[[#This Row],[Revenue]]-O7)/O7</f>
        <v>0.13135326134319963</v>
      </c>
    </row>
    <row r="7" spans="1:20">
      <c r="A7" s="3">
        <v>2020</v>
      </c>
      <c r="B7" s="20">
        <v>0.40600000000000003</v>
      </c>
      <c r="C7" s="20">
        <v>0.23699999999999999</v>
      </c>
      <c r="D7" s="20">
        <v>0.64300000000000002</v>
      </c>
      <c r="F7" s="51"/>
      <c r="G7" s="51"/>
      <c r="H7" s="51"/>
      <c r="I7" s="51"/>
      <c r="J7" s="51"/>
      <c r="K7" s="51"/>
      <c r="M7" s="31">
        <v>2022</v>
      </c>
      <c r="N7" s="31" t="s">
        <v>40</v>
      </c>
      <c r="O7" s="31">
        <v>6311050000</v>
      </c>
      <c r="P7" s="31">
        <v>0.497</v>
      </c>
      <c r="Q7" s="31">
        <v>0.252</v>
      </c>
      <c r="R7" s="31">
        <v>0.251</v>
      </c>
      <c r="S7" s="31">
        <v>0.26100000000000001</v>
      </c>
      <c r="T7" s="31">
        <f>(Table57[[#This Row],[Revenue]]-O8)/O8</f>
        <v>0.13890075923709594</v>
      </c>
    </row>
    <row r="8" spans="1:20">
      <c r="A8" s="3">
        <v>2021</v>
      </c>
      <c r="B8" s="20">
        <v>0.42099999999999999</v>
      </c>
      <c r="C8" s="20">
        <v>0.23699999999999999</v>
      </c>
      <c r="D8" s="20">
        <v>0.65799999999999992</v>
      </c>
      <c r="F8" s="51"/>
      <c r="G8" s="51"/>
      <c r="H8" s="51"/>
      <c r="I8" s="51"/>
      <c r="J8" s="51"/>
      <c r="K8" s="51"/>
      <c r="M8" s="31">
        <v>2021</v>
      </c>
      <c r="N8" s="31" t="s">
        <v>40</v>
      </c>
      <c r="O8" s="31">
        <v>5541352000</v>
      </c>
      <c r="P8" s="31">
        <v>0.439</v>
      </c>
      <c r="Q8" s="31">
        <v>0.23699999999999999</v>
      </c>
      <c r="R8" s="31">
        <v>0.32400000000000001</v>
      </c>
      <c r="S8" s="31">
        <v>0.33300000000000002</v>
      </c>
      <c r="T8" s="31">
        <f>(Table57[[#This Row],[Revenue]]-O9)/O9</f>
        <v>0.20499852347586395</v>
      </c>
    </row>
    <row r="9" spans="1:20">
      <c r="A9" s="3">
        <v>2022</v>
      </c>
      <c r="B9" s="20">
        <v>0.65600000000000003</v>
      </c>
      <c r="C9" s="20">
        <v>0.252</v>
      </c>
      <c r="D9" s="20">
        <v>0.90800000000000003</v>
      </c>
      <c r="F9" s="51"/>
      <c r="G9" s="51"/>
      <c r="H9" s="51"/>
      <c r="I9" s="51"/>
      <c r="J9" s="51"/>
      <c r="K9" s="51"/>
      <c r="M9" s="31">
        <v>2020</v>
      </c>
      <c r="N9" s="31" t="s">
        <v>40</v>
      </c>
      <c r="O9" s="31">
        <v>4598638000</v>
      </c>
      <c r="P9" s="31">
        <v>0.40799999999999997</v>
      </c>
      <c r="Q9" s="31">
        <v>0.23699999999999999</v>
      </c>
      <c r="R9" s="31">
        <v>0.35499999999999998</v>
      </c>
      <c r="S9" s="31">
        <v>0.36799999999999999</v>
      </c>
      <c r="T9" s="31">
        <f>(Table57[[#This Row],[Revenue]]-O10)/O10</f>
        <v>9.4700342956932929E-2</v>
      </c>
    </row>
    <row r="10" spans="1:20">
      <c r="A10" s="3">
        <v>2023</v>
      </c>
      <c r="B10" s="20">
        <v>0.27800000000000002</v>
      </c>
      <c r="C10" s="20">
        <v>0.25800000000000001</v>
      </c>
      <c r="D10" s="20">
        <v>0.53600000000000003</v>
      </c>
      <c r="F10" s="51"/>
      <c r="G10" s="51"/>
      <c r="H10" s="51"/>
      <c r="I10" s="51"/>
      <c r="J10" s="51"/>
      <c r="K10" s="51"/>
      <c r="M10" s="31">
        <v>2019</v>
      </c>
      <c r="N10" s="31" t="s">
        <v>40</v>
      </c>
      <c r="O10" s="31">
        <v>4200819000</v>
      </c>
      <c r="P10" s="31">
        <v>0.4</v>
      </c>
      <c r="Q10" s="31">
        <v>0.26600000000000001</v>
      </c>
      <c r="R10" s="31">
        <v>0.33400000000000002</v>
      </c>
      <c r="S10" s="31">
        <v>0.34799999999999998</v>
      </c>
      <c r="T10" s="31">
        <f>(Table57[[#This Row],[Revenue]]-O11)/O11</f>
        <v>0.10339298110965509</v>
      </c>
    </row>
    <row r="11" spans="1:20">
      <c r="A11" s="3">
        <v>2024</v>
      </c>
      <c r="B11" s="20">
        <v>0.38700000000000001</v>
      </c>
      <c r="C11" s="20">
        <v>0.28299999999999997</v>
      </c>
      <c r="D11" s="20">
        <v>0.66999999999999993</v>
      </c>
      <c r="M11" s="31">
        <v>2018</v>
      </c>
      <c r="N11" s="31" t="s">
        <v>40</v>
      </c>
      <c r="O11" s="31">
        <v>3807183000</v>
      </c>
      <c r="P11" s="31">
        <v>0.39700000000000002</v>
      </c>
      <c r="Q11" s="31">
        <v>0.26600000000000001</v>
      </c>
      <c r="R11" s="31">
        <v>0.33700000000000002</v>
      </c>
      <c r="S11" s="31">
        <v>0.35199999999999998</v>
      </c>
      <c r="T11" s="31">
        <f>(Table57[[#This Row],[Revenue]]-O12)/O12</f>
        <v>0.13004812936603696</v>
      </c>
    </row>
    <row r="12" spans="1:20">
      <c r="A12" s="3">
        <v>2025</v>
      </c>
      <c r="B12" s="20">
        <v>0.318</v>
      </c>
      <c r="C12" s="20">
        <v>0.26700000000000002</v>
      </c>
      <c r="D12" s="20">
        <v>0.58499999999999996</v>
      </c>
      <c r="M12" s="31">
        <v>2017</v>
      </c>
      <c r="N12" s="31" t="s">
        <v>40</v>
      </c>
      <c r="O12" s="31">
        <v>3369045000</v>
      </c>
      <c r="P12" s="31">
        <v>0.36499999999999999</v>
      </c>
      <c r="Q12" s="31">
        <v>0.27900000000000003</v>
      </c>
      <c r="R12" s="31">
        <v>0.35599999999999998</v>
      </c>
      <c r="S12" s="31">
        <v>0.37</v>
      </c>
      <c r="T12" s="31">
        <f>(Table57[[#This Row],[Revenue]]-O13)/O13</f>
        <v>0.10482479627912834</v>
      </c>
    </row>
    <row r="13" spans="1:20">
      <c r="A13" s="21" t="s">
        <v>51</v>
      </c>
      <c r="B13" s="21">
        <v>4.7070000000000007</v>
      </c>
      <c r="C13" s="21">
        <v>2.6260000000000003</v>
      </c>
      <c r="D13" s="21">
        <v>7.3330000000000011</v>
      </c>
      <c r="M13" s="31">
        <v>2016</v>
      </c>
      <c r="N13" s="31" t="s">
        <v>40</v>
      </c>
      <c r="O13" s="31">
        <v>3049393000</v>
      </c>
      <c r="P13" s="31">
        <v>0.36299999999999999</v>
      </c>
      <c r="Q13" s="31">
        <v>0.28100000000000003</v>
      </c>
      <c r="R13" s="31">
        <v>0.35599999999999998</v>
      </c>
      <c r="S13" s="31">
        <v>0.36899999999999999</v>
      </c>
      <c r="T13" s="31">
        <f>(3049393000-2722564000)/2722564000</f>
        <v>0.12004456093594126</v>
      </c>
    </row>
    <row r="14" spans="1:20">
      <c r="M14" s="31">
        <v>2025</v>
      </c>
      <c r="N14" s="31" t="s">
        <v>48</v>
      </c>
      <c r="O14" s="31">
        <v>2515269000</v>
      </c>
      <c r="P14" s="31">
        <v>0.496</v>
      </c>
      <c r="Q14" s="31">
        <v>0.318</v>
      </c>
      <c r="R14" s="31">
        <v>5.6000000000000001E-2</v>
      </c>
      <c r="S14" s="31">
        <v>5.6000000000000001E-2</v>
      </c>
      <c r="T14" s="31">
        <f>(Table57[[#This Row],[Revenue]]-O15)/O15</f>
        <v>0.85542441521654133</v>
      </c>
    </row>
    <row r="15" spans="1:20">
      <c r="M15" s="31">
        <v>2024</v>
      </c>
      <c r="N15" s="31" t="s">
        <v>48</v>
      </c>
      <c r="O15" s="31">
        <v>1355630000</v>
      </c>
      <c r="P15" s="31">
        <v>0.498</v>
      </c>
      <c r="Q15" s="31">
        <v>0.38700000000000001</v>
      </c>
      <c r="R15" s="31">
        <v>0.115</v>
      </c>
      <c r="S15" s="31">
        <v>0.12</v>
      </c>
      <c r="T15" s="31">
        <f>(Table57[[#This Row],[Revenue]]-O16)/O16</f>
        <v>2.8539909287761737E-2</v>
      </c>
    </row>
    <row r="16" spans="1:20">
      <c r="M16" s="31">
        <v>2023</v>
      </c>
      <c r="N16" s="31" t="s">
        <v>48</v>
      </c>
      <c r="O16" s="31">
        <v>1318014000</v>
      </c>
      <c r="P16" s="31">
        <v>0.52</v>
      </c>
      <c r="Q16" s="31">
        <v>0.27800000000000002</v>
      </c>
      <c r="R16" s="31">
        <v>0.20200000000000001</v>
      </c>
      <c r="S16" s="31">
        <v>0.20499999999999999</v>
      </c>
      <c r="T16" s="31">
        <f>(Table57[[#This Row],[Revenue]]-O17)/O17</f>
        <v>1.0165329465547945</v>
      </c>
    </row>
    <row r="17" spans="9:20">
      <c r="M17" s="31">
        <v>2022</v>
      </c>
      <c r="N17" s="31" t="s">
        <v>48</v>
      </c>
      <c r="O17" s="31">
        <v>653604000</v>
      </c>
      <c r="P17" s="31">
        <v>0.58599999999999997</v>
      </c>
      <c r="Q17" s="31">
        <v>0.65600000000000003</v>
      </c>
      <c r="R17" s="31">
        <v>-0.24099999999999999</v>
      </c>
      <c r="S17" s="31">
        <v>-0.23899999999999999</v>
      </c>
      <c r="T17" s="31">
        <f>(Table57[[#This Row],[Revenue]]-O18)/O18</f>
        <v>1.0797398431931575</v>
      </c>
    </row>
    <row r="18" spans="9:20">
      <c r="M18" s="31">
        <v>2021</v>
      </c>
      <c r="N18" s="31" t="s">
        <v>48</v>
      </c>
      <c r="O18" s="31">
        <v>314272000</v>
      </c>
      <c r="P18" s="31">
        <v>0.59199999999999997</v>
      </c>
      <c r="Q18" s="31">
        <v>0.42099999999999999</v>
      </c>
      <c r="R18" s="31">
        <v>-1.2999999999999999E-2</v>
      </c>
      <c r="S18" s="31">
        <v>-1.0999999999999999E-2</v>
      </c>
      <c r="T18" s="31">
        <f>(Table57[[#This Row],[Revenue]]-O19)/O19</f>
        <v>1.4040512216391536</v>
      </c>
    </row>
    <row r="19" spans="9:20">
      <c r="I19" t="s">
        <v>40</v>
      </c>
      <c r="J19" s="28">
        <f>CORREL(P4:P13,T4:T13)</f>
        <v>0.11405165699411748</v>
      </c>
      <c r="M19" s="31">
        <v>2020</v>
      </c>
      <c r="N19" s="31" t="s">
        <v>48</v>
      </c>
      <c r="O19" s="31">
        <v>130726000</v>
      </c>
      <c r="P19" s="31">
        <v>0.53400000000000003</v>
      </c>
      <c r="Q19" s="31">
        <v>0.40600000000000003</v>
      </c>
      <c r="R19" s="31">
        <v>6.0999999999999999E-2</v>
      </c>
      <c r="S19" s="31">
        <v>6.0999999999999999E-2</v>
      </c>
      <c r="T19" s="31">
        <f>(Table57[[#This Row],[Revenue]]-O20)/O20</f>
        <v>0.73961421992702103</v>
      </c>
    </row>
    <row r="20" spans="9:20">
      <c r="I20" t="s">
        <v>48</v>
      </c>
      <c r="J20" s="29">
        <f>CORREL(P14:P23,T14:T23)</f>
        <v>0.1889526025621216</v>
      </c>
      <c r="M20" s="31">
        <v>2019</v>
      </c>
      <c r="N20" s="31" t="s">
        <v>48</v>
      </c>
      <c r="O20" s="31">
        <v>75146546</v>
      </c>
      <c r="P20" s="31">
        <v>0.58299999999999996</v>
      </c>
      <c r="Q20" s="31">
        <v>0.436</v>
      </c>
      <c r="R20" s="31">
        <v>-1.9E-2</v>
      </c>
      <c r="S20" s="31">
        <v>-7.0000000000000001E-3</v>
      </c>
      <c r="T20" s="31">
        <f>(Table57[[#This Row],[Revenue]]-O21)/O21</f>
        <v>0.42853330544191082</v>
      </c>
    </row>
    <row r="21" spans="9:20">
      <c r="M21" s="31">
        <v>2018</v>
      </c>
      <c r="N21" s="31" t="s">
        <v>48</v>
      </c>
      <c r="O21" s="31">
        <v>52603986</v>
      </c>
      <c r="P21" s="31">
        <v>0.6</v>
      </c>
      <c r="Q21" s="31">
        <v>0.60299999999999998</v>
      </c>
      <c r="R21" s="31">
        <v>-0.20200000000000001</v>
      </c>
      <c r="S21" s="31">
        <v>-0.20100000000000001</v>
      </c>
      <c r="T21" s="31">
        <f>(Table57[[#This Row],[Revenue]]-O22)/O22</f>
        <v>0.45459276921974257</v>
      </c>
    </row>
    <row r="22" spans="9:20">
      <c r="M22" s="31">
        <v>2017</v>
      </c>
      <c r="N22" s="31" t="s">
        <v>48</v>
      </c>
      <c r="O22" s="31">
        <v>36164064</v>
      </c>
      <c r="P22" s="31">
        <v>0.57299999999999995</v>
      </c>
      <c r="Q22" s="31">
        <v>0.65</v>
      </c>
      <c r="R22" s="31">
        <v>-0.223</v>
      </c>
      <c r="S22" s="31">
        <v>-0.223</v>
      </c>
      <c r="T22" s="31">
        <f>(Table57[[#This Row],[Revenue]]-O23)/O23</f>
        <v>0.5888621330634094</v>
      </c>
    </row>
    <row r="23" spans="9:20">
      <c r="M23" s="31">
        <v>2016</v>
      </c>
      <c r="N23" s="31" t="s">
        <v>48</v>
      </c>
      <c r="O23" s="31">
        <v>22760983</v>
      </c>
      <c r="P23" s="31">
        <v>0.57299999999999995</v>
      </c>
      <c r="Q23" s="31">
        <v>0.55200000000000005</v>
      </c>
      <c r="R23" s="31">
        <v>-0.125</v>
      </c>
      <c r="S23" s="31">
        <v>-0.124</v>
      </c>
      <c r="T23" s="31">
        <f>(22760983-17217944)/17217944</f>
        <v>0.32193384994166552</v>
      </c>
    </row>
  </sheetData>
  <mergeCells count="1">
    <mergeCell ref="F3:K10"/>
  </mergeCells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AB4A-E744-438B-9734-67A9EA2898BA}">
  <dimension ref="A3:K15"/>
  <sheetViews>
    <sheetView tabSelected="1" zoomScaleNormal="100" workbookViewId="0">
      <selection activeCell="L25" sqref="L25"/>
    </sheetView>
  </sheetViews>
  <sheetFormatPr defaultRowHeight="14.4"/>
  <cols>
    <col min="1" max="1" width="24.44140625" bestFit="1" customWidth="1"/>
    <col min="2" max="2" width="16.33203125" bestFit="1" customWidth="1"/>
    <col min="3" max="3" width="8.5546875" bestFit="1" customWidth="1"/>
    <col min="4" max="4" width="11.33203125" bestFit="1" customWidth="1"/>
  </cols>
  <sheetData>
    <row r="3" spans="1:11">
      <c r="A3" s="19" t="s">
        <v>54</v>
      </c>
      <c r="B3" s="19" t="s">
        <v>52</v>
      </c>
      <c r="C3" s="3"/>
      <c r="D3" s="3"/>
    </row>
    <row r="4" spans="1:11">
      <c r="A4" s="19" t="s">
        <v>50</v>
      </c>
      <c r="B4" s="3" t="s">
        <v>48</v>
      </c>
      <c r="C4" s="3" t="s">
        <v>40</v>
      </c>
      <c r="D4" s="3" t="s">
        <v>51</v>
      </c>
      <c r="F4" s="51" t="s">
        <v>55</v>
      </c>
      <c r="G4" s="51"/>
      <c r="H4" s="51"/>
      <c r="I4" s="51"/>
      <c r="J4" s="51"/>
      <c r="K4" s="51"/>
    </row>
    <row r="5" spans="1:11">
      <c r="A5" s="3">
        <v>2016</v>
      </c>
      <c r="B5" s="20">
        <v>-0.124</v>
      </c>
      <c r="C5" s="20">
        <v>0.36899999999999999</v>
      </c>
      <c r="D5" s="20">
        <v>0.1225</v>
      </c>
      <c r="F5" s="51"/>
      <c r="G5" s="51"/>
      <c r="H5" s="51"/>
      <c r="I5" s="51"/>
      <c r="J5" s="51"/>
      <c r="K5" s="51"/>
    </row>
    <row r="6" spans="1:11">
      <c r="A6" s="3">
        <v>2017</v>
      </c>
      <c r="B6" s="20">
        <v>-0.223</v>
      </c>
      <c r="C6" s="20">
        <v>0.37</v>
      </c>
      <c r="D6" s="20">
        <v>7.3499999999999996E-2</v>
      </c>
      <c r="F6" s="51"/>
      <c r="G6" s="51"/>
      <c r="H6" s="51"/>
      <c r="I6" s="51"/>
      <c r="J6" s="51"/>
      <c r="K6" s="51"/>
    </row>
    <row r="7" spans="1:11">
      <c r="A7" s="3">
        <v>2018</v>
      </c>
      <c r="B7" s="20">
        <v>-0.20100000000000001</v>
      </c>
      <c r="C7" s="20">
        <v>0.35199999999999998</v>
      </c>
      <c r="D7" s="20">
        <v>7.5499999999999984E-2</v>
      </c>
      <c r="F7" s="51"/>
      <c r="G7" s="51"/>
      <c r="H7" s="51"/>
      <c r="I7" s="51"/>
      <c r="J7" s="51"/>
      <c r="K7" s="51"/>
    </row>
    <row r="8" spans="1:11">
      <c r="A8" s="3">
        <v>2019</v>
      </c>
      <c r="B8" s="20">
        <v>-7.0000000000000001E-3</v>
      </c>
      <c r="C8" s="20">
        <v>0.34799999999999998</v>
      </c>
      <c r="D8" s="20">
        <v>0.17049999999999998</v>
      </c>
      <c r="F8" s="51"/>
      <c r="G8" s="51"/>
      <c r="H8" s="51"/>
      <c r="I8" s="51"/>
      <c r="J8" s="51"/>
      <c r="K8" s="51"/>
    </row>
    <row r="9" spans="1:11">
      <c r="A9" s="3">
        <v>2020</v>
      </c>
      <c r="B9" s="20">
        <v>6.0999999999999999E-2</v>
      </c>
      <c r="C9" s="20">
        <v>0.36799999999999999</v>
      </c>
      <c r="D9" s="20">
        <v>0.2145</v>
      </c>
      <c r="F9" s="51"/>
      <c r="G9" s="51"/>
      <c r="H9" s="51"/>
      <c r="I9" s="51"/>
      <c r="J9" s="51"/>
      <c r="K9" s="51"/>
    </row>
    <row r="10" spans="1:11">
      <c r="A10" s="3">
        <v>2021</v>
      </c>
      <c r="B10" s="20">
        <v>-1.0999999999999999E-2</v>
      </c>
      <c r="C10" s="20">
        <v>0.33300000000000002</v>
      </c>
      <c r="D10" s="20">
        <v>0.161</v>
      </c>
      <c r="F10" s="51"/>
      <c r="G10" s="51"/>
      <c r="H10" s="51"/>
      <c r="I10" s="51"/>
      <c r="J10" s="51"/>
      <c r="K10" s="51"/>
    </row>
    <row r="11" spans="1:11">
      <c r="A11" s="3">
        <v>2022</v>
      </c>
      <c r="B11" s="20">
        <v>-0.23899999999999999</v>
      </c>
      <c r="C11" s="20">
        <v>0.26100000000000001</v>
      </c>
      <c r="D11" s="20">
        <v>1.100000000000001E-2</v>
      </c>
    </row>
    <row r="12" spans="1:11">
      <c r="A12" s="3">
        <v>2023</v>
      </c>
      <c r="B12" s="20">
        <v>0.20499999999999999</v>
      </c>
      <c r="C12" s="20">
        <v>0.28299999999999997</v>
      </c>
      <c r="D12" s="20">
        <v>0.24399999999999999</v>
      </c>
    </row>
    <row r="13" spans="1:11">
      <c r="A13" s="3">
        <v>2024</v>
      </c>
      <c r="B13" s="20">
        <v>0.12</v>
      </c>
      <c r="C13" s="20">
        <v>0.26800000000000002</v>
      </c>
      <c r="D13" s="20">
        <v>0.19400000000000001</v>
      </c>
    </row>
    <row r="14" spans="1:11">
      <c r="A14" s="3">
        <v>2025</v>
      </c>
      <c r="B14" s="20">
        <v>5.6000000000000001E-2</v>
      </c>
      <c r="C14" s="20">
        <v>0.30499999999999999</v>
      </c>
      <c r="D14" s="20">
        <v>0.18049999999999999</v>
      </c>
    </row>
    <row r="15" spans="1:11">
      <c r="A15" s="3" t="s">
        <v>51</v>
      </c>
      <c r="B15" s="21">
        <v>-3.6300000000000006E-2</v>
      </c>
      <c r="C15" s="21">
        <v>0.32569999999999999</v>
      </c>
      <c r="D15" s="21">
        <v>0.1447</v>
      </c>
    </row>
  </sheetData>
  <mergeCells count="1">
    <mergeCell ref="F4:K10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Energy Drink Data</vt:lpstr>
      <vt:lpstr>Comparison</vt:lpstr>
      <vt:lpstr>Regression</vt:lpstr>
      <vt:lpstr>Revenue Total</vt:lpstr>
      <vt:lpstr>Revenue Growth</vt:lpstr>
      <vt:lpstr>COGS</vt:lpstr>
      <vt:lpstr>SG&amp;A</vt:lpstr>
      <vt:lpstr>EBITDA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Nikola Šašaroga</cp:lastModifiedBy>
  <dcterms:created xsi:type="dcterms:W3CDTF">2026-03-03T22:31:22Z</dcterms:created>
  <dcterms:modified xsi:type="dcterms:W3CDTF">2026-06-04T12:03:00Z</dcterms:modified>
</cp:coreProperties>
</file>